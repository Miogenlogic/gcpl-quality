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91" i="1" l="1"/>
  <c r="J9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</calcChain>
</file>

<file path=xl/sharedStrings.xml><?xml version="1.0" encoding="utf-8"?>
<sst xmlns="http://schemas.openxmlformats.org/spreadsheetml/2006/main" count="271" uniqueCount="160">
  <si>
    <t>SL NO</t>
  </si>
  <si>
    <t>PARTNO</t>
  </si>
  <si>
    <t>PARTNAME</t>
  </si>
  <si>
    <t>QTY</t>
  </si>
  <si>
    <t>REMARKS</t>
  </si>
  <si>
    <t>CAT-1964000</t>
  </si>
  <si>
    <t>BEARING  KIT</t>
  </si>
  <si>
    <t>MANDATORY</t>
  </si>
  <si>
    <t>CAT- 6V0852</t>
  </si>
  <si>
    <t>CAP DUST</t>
  </si>
  <si>
    <t>DISCFRICTION</t>
  </si>
  <si>
    <t>CAT- 6I8911</t>
  </si>
  <si>
    <t>CAT- 6I8912</t>
  </si>
  <si>
    <t>CAT- 6Y5352</t>
  </si>
  <si>
    <t>CAT- 6Y7981</t>
  </si>
  <si>
    <t>CAT-2818870</t>
  </si>
  <si>
    <t>GASKET  KIT</t>
  </si>
  <si>
    <t>HARNESS AS TRANSMISSION</t>
  </si>
  <si>
    <t>TESTING FACILITY NOT PRESENT IN CRC</t>
  </si>
  <si>
    <t>CAT-2266621</t>
  </si>
  <si>
    <t>HARNESS ASSENSOR (SPEED)</t>
  </si>
  <si>
    <t>FUNCTIONAL TEST</t>
  </si>
  <si>
    <t>CAT- 7T4515</t>
  </si>
  <si>
    <t>KIT SEAL</t>
  </si>
  <si>
    <t>CAT-1105161</t>
  </si>
  <si>
    <t>MANIFOLD</t>
  </si>
  <si>
    <t>CAT- 3P0337</t>
  </si>
  <si>
    <t>PLATE</t>
  </si>
  <si>
    <t>EXPECTED DAMAGE</t>
  </si>
  <si>
    <t>CAT- 6I9502</t>
  </si>
  <si>
    <t>CAT-1546306</t>
  </si>
  <si>
    <t>CAT-1546307</t>
  </si>
  <si>
    <t>CAT-1421767</t>
  </si>
  <si>
    <t>POPPET</t>
  </si>
  <si>
    <t>CAT- 6Y8764</t>
  </si>
  <si>
    <t>PUMP GPGEAR (TRANSMISSION)</t>
  </si>
  <si>
    <t>CAT- 4D1322</t>
  </si>
  <si>
    <t>RINGRETAINING</t>
  </si>
  <si>
    <t>CAT- 6Y1890</t>
  </si>
  <si>
    <t>CAT- 9W7038</t>
  </si>
  <si>
    <t>RINGSNAP</t>
  </si>
  <si>
    <t>CAT- 6I9395</t>
  </si>
  <si>
    <t>SCREEN</t>
  </si>
  <si>
    <t>CAT- 5C7423</t>
  </si>
  <si>
    <t>SCREW (M6X1X16MM)</t>
  </si>
  <si>
    <t>CAT- 5K9090</t>
  </si>
  <si>
    <t>SEAL O RING</t>
  </si>
  <si>
    <t>CAT- 9X7384</t>
  </si>
  <si>
    <t>CAT-2905792</t>
  </si>
  <si>
    <t>SENSOR GPSPEED (TRANSMISSION OUTPUT)</t>
  </si>
  <si>
    <t>CAT- 3E8700</t>
  </si>
  <si>
    <t>SENSOR GPTEMPERATURE (TRANSMISSION OIL)</t>
  </si>
  <si>
    <t>CAT- 3J6956</t>
  </si>
  <si>
    <t>SPRING</t>
  </si>
  <si>
    <t>CAT- 8M4295</t>
  </si>
  <si>
    <t>CAT- 9U8815</t>
  </si>
  <si>
    <t>CAT- 9W4430</t>
  </si>
  <si>
    <t>CAT- 9W4431</t>
  </si>
  <si>
    <t>CAT-1025881</t>
  </si>
  <si>
    <t>SPRING WAVE</t>
  </si>
  <si>
    <t>CAT-1841130</t>
  </si>
  <si>
    <t>VALVE GPSELECTOR &amp;amp; PRESS CONT (DIRECTION, RANGE, TRANSMISSION)</t>
  </si>
  <si>
    <t>BENT/ DAMAGE</t>
  </si>
  <si>
    <t>BURNT/ DAMAGE</t>
  </si>
  <si>
    <t>CAT- 7G0437</t>
  </si>
  <si>
    <t>PLATE CLUTCH</t>
  </si>
  <si>
    <t>DAMAGE</t>
  </si>
  <si>
    <t>CAT-1329625</t>
  </si>
  <si>
    <t>GEAR AS (50 TEETH)</t>
  </si>
  <si>
    <t>CAT- 6Y0590</t>
  </si>
  <si>
    <t>GEAR (38 TEETH)</t>
  </si>
  <si>
    <t>CAT- 6Y0591</t>
  </si>
  <si>
    <t>GEAR (45 TEETH)</t>
  </si>
  <si>
    <t>CAT- 8S9130</t>
  </si>
  <si>
    <t>SCREEN-SUCTION</t>
  </si>
  <si>
    <t>MISSING</t>
  </si>
  <si>
    <t>CAT- 8S9129</t>
  </si>
  <si>
    <t>FITER-MAGNETIC</t>
  </si>
  <si>
    <t>CAT- 9U9995</t>
  </si>
  <si>
    <t>CUSTOMER: ANSH DEAL TRADE PVT.LTD</t>
  </si>
  <si>
    <t>SL NO: CK403940</t>
  </si>
  <si>
    <t>JOB NO: 5500006099</t>
  </si>
  <si>
    <t>COMPONENT: 120K2 TRANSMISSION</t>
  </si>
  <si>
    <t>MANDATORY/PSP</t>
  </si>
  <si>
    <t>CAT- 2J0157</t>
  </si>
  <si>
    <t>PSP</t>
  </si>
  <si>
    <t>CAT- 2J6274</t>
  </si>
  <si>
    <t>CAT- 2P1692</t>
  </si>
  <si>
    <t>CAT- 4F7390</t>
  </si>
  <si>
    <t>CAT- 4F7952</t>
  </si>
  <si>
    <t>CAT- 4H9105</t>
  </si>
  <si>
    <t>CAT- 5J1086</t>
  </si>
  <si>
    <t>CAT- 5M6200</t>
  </si>
  <si>
    <t>CAT- 5P3863</t>
  </si>
  <si>
    <t>CAT- 6D0692</t>
  </si>
  <si>
    <t>CAT- 6L1650</t>
  </si>
  <si>
    <t>CAT- 6V6609</t>
  </si>
  <si>
    <t>CAT- 6V9746</t>
  </si>
  <si>
    <t>CAT- 6Y1115</t>
  </si>
  <si>
    <t>RING-HALF</t>
  </si>
  <si>
    <t>CAT- 7F8268</t>
  </si>
  <si>
    <t>CAT- 7G4822</t>
  </si>
  <si>
    <t>RING-SEAL</t>
  </si>
  <si>
    <t>CAT- 7M8485</t>
  </si>
  <si>
    <t>CAT- 8E5736</t>
  </si>
  <si>
    <t>RING-SEAL EXT</t>
  </si>
  <si>
    <t>SEAL O RING STOR</t>
  </si>
  <si>
    <t>SEAL O RING ORFS</t>
  </si>
  <si>
    <t>RING-SEAL (INT)</t>
  </si>
  <si>
    <t>CAT- 8E5742</t>
  </si>
  <si>
    <t>CAT- 8F3469</t>
  </si>
  <si>
    <t>SEAL-O RING</t>
  </si>
  <si>
    <t>CAT- 8T4121</t>
  </si>
  <si>
    <t>WASHER HARD</t>
  </si>
  <si>
    <t>CAT- 8T4133</t>
  </si>
  <si>
    <t>NUT</t>
  </si>
  <si>
    <t>CAT- 8T4195</t>
  </si>
  <si>
    <t>BOLT-HEX HEAD</t>
  </si>
  <si>
    <t>CAT- 8T7329</t>
  </si>
  <si>
    <t>CAT- 9P9150</t>
  </si>
  <si>
    <t xml:space="preserve">WASHER </t>
  </si>
  <si>
    <t>CAT- 9S4181</t>
  </si>
  <si>
    <t>PLUG-LD STOR</t>
  </si>
  <si>
    <t>CAT- 9S4185</t>
  </si>
  <si>
    <t>CAT- 9S4191</t>
  </si>
  <si>
    <t>PLUG-EXT HEX</t>
  </si>
  <si>
    <t>CAT- 9W9371</t>
  </si>
  <si>
    <t>CAT- 9W9905</t>
  </si>
  <si>
    <t>RING LOCK</t>
  </si>
  <si>
    <t>CAT- 9X4609</t>
  </si>
  <si>
    <t>CAT- 9X7743</t>
  </si>
  <si>
    <t>SEAL-LIP TYPE</t>
  </si>
  <si>
    <t>CAT-0951678</t>
  </si>
  <si>
    <t>CLIP</t>
  </si>
  <si>
    <t>BREATHER AS</t>
  </si>
  <si>
    <t>SEAL-D-RING</t>
  </si>
  <si>
    <t>SEAL-O RING STOR</t>
  </si>
  <si>
    <t>HOSE AS</t>
  </si>
  <si>
    <t>SPACER</t>
  </si>
  <si>
    <t>VALVE GP-SOL</t>
  </si>
  <si>
    <t>OLD PART NO</t>
  </si>
  <si>
    <t>CAT-2139842</t>
  </si>
  <si>
    <t>CAT-1271960</t>
  </si>
  <si>
    <t>CAT-1757902</t>
  </si>
  <si>
    <t>CAT- 5P7701</t>
  </si>
  <si>
    <t>CAT- 8E5734</t>
  </si>
  <si>
    <t>CAT-1305300</t>
  </si>
  <si>
    <t>CAT-1833873</t>
  </si>
  <si>
    <t>CAT-2035957</t>
  </si>
  <si>
    <t>CAT-2035958</t>
  </si>
  <si>
    <t>CAT-2147568</t>
  </si>
  <si>
    <t>CAT-2655287</t>
  </si>
  <si>
    <t>CAT-2934285</t>
  </si>
  <si>
    <t>CAT-4438144</t>
  </si>
  <si>
    <t>CAT-5036251</t>
  </si>
  <si>
    <t>CAT-5185072</t>
  </si>
  <si>
    <t>UNIT COST</t>
  </si>
  <si>
    <t>EXTN COST</t>
  </si>
  <si>
    <t>UNIT SALE</t>
  </si>
  <si>
    <t>EXTN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</si>
</sst>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11" fontId="0" fillId="2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2" borderId="8" xfId="0" applyFont="1" applyFill="1" applyBorder="1"/>
    <xf numFmtId="0" fontId="0" fillId="0" borderId="3" xfId="0" applyBorder="1"/>
    <xf numFmtId="2" fontId="3" fillId="2" borderId="1" xfId="0" applyNumberFormat="1" applyFont="1" applyFill="1" applyBorder="1"/>
    <xf numFmtId="2" fontId="0" fillId="0" borderId="1" xfId="0" applyNumberFormat="1" applyBorder="1"/>
    <xf numFmtId="2" fontId="0" fillId="2" borderId="1" xfId="0" applyNumberFormat="1" applyFill="1" applyBorder="1"/>
    <xf numFmtId="2" fontId="4" fillId="0" borderId="1" xfId="0" applyNumberFormat="1" applyFont="1" applyBorder="1"/>
    <xf numFmtId="2" fontId="0" fillId="2" borderId="6" xfId="0" applyNumberFormat="1" applyFill="1" applyBorder="1"/>
    <xf numFmtId="2" fontId="4" fillId="4" borderId="9" xfId="0" applyNumberFormat="1" applyFont="1" applyFill="1" applyBorder="1"/>
    <xf numFmtId="2" fontId="3" fillId="4" borderId="6" xfId="0" applyNumberFormat="1" applyFont="1" applyFill="1" applyBorder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5:H91" totalsRowCount="1" headerRowDxfId="19" headerRowBorderDxfId="18" tableBorderDxfId="17">
  <sortState ref="B6:F45">
    <sortCondition ref="D5:D45"/>
  </sortState>
  <tableColumns count="7">
    <tableColumn id="9" name="PARTNO" dataDxfId="16" totalsRowDxfId="6"/>
    <tableColumn id="1" name="OLD PART NO" dataDxfId="13" totalsRowDxfId="5"/>
    <tableColumn id="10" name="PARTNAME" dataDxfId="15" totalsRowDxfId="4"/>
    <tableColumn id="12" name="QTY" dataDxfId="14" totalsRowDxfId="3"/>
    <tableColumn id="21" name="REMARKS" dataDxfId="9" totalsRowDxfId="2"/>
    <tableColumn id="2" name="UNIT COST" totalsRowDxfId="1"/>
    <tableColumn id="3" name="EXTN COST" totalsRowFunction="sum" totalsRowDxfId="0">
      <calculatedColumnFormula>Table1[[#This Row],[UNIT COST]]*Table1[[#This Row],[QTY]]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topLeftCell="A60" workbookViewId="0">
      <selection activeCell="A6" sqref="A6:A90"/>
    </sheetView>
  </sheetViews>
  <sheetFormatPr defaultRowHeight="15" x14ac:dyDescent="0.25"/>
  <cols>
    <col min="1" max="1" width="6.140625" bestFit="1" customWidth="1"/>
    <col min="2" max="2" width="12.5703125" style="13" bestFit="1" customWidth="1"/>
    <col min="3" max="3" width="12.5703125" style="13" customWidth="1"/>
    <col min="4" max="4" width="71.5703125" customWidth="1"/>
    <col min="5" max="5" width="6.5703125" bestFit="1" customWidth="1"/>
    <col min="6" max="6" width="35.7109375" bestFit="1" customWidth="1"/>
    <col min="7" max="8" width="10.5703125" bestFit="1" customWidth="1"/>
    <col min="9" max="9" width="9.85546875" bestFit="1" customWidth="1"/>
    <col min="10" max="10" width="10.5703125" bestFit="1" customWidth="1"/>
  </cols>
  <sheetData>
    <row r="1" spans="1:14" ht="18.75" x14ac:dyDescent="0.3">
      <c r="A1" s="15" t="s">
        <v>79</v>
      </c>
      <c r="B1" s="15"/>
      <c r="C1" s="15"/>
      <c r="D1" s="15"/>
      <c r="E1" s="15"/>
      <c r="F1" s="15"/>
    </row>
    <row r="2" spans="1:14" ht="18.75" x14ac:dyDescent="0.3">
      <c r="A2" s="15" t="s">
        <v>82</v>
      </c>
      <c r="B2" s="15"/>
      <c r="C2" s="15"/>
      <c r="D2" s="15"/>
      <c r="E2" s="15"/>
      <c r="F2" s="15"/>
    </row>
    <row r="3" spans="1:14" ht="18.75" x14ac:dyDescent="0.3">
      <c r="A3" s="15" t="s">
        <v>80</v>
      </c>
      <c r="B3" s="15"/>
      <c r="C3" s="15"/>
      <c r="D3" s="15"/>
      <c r="E3" s="15"/>
      <c r="F3" s="15"/>
    </row>
    <row r="4" spans="1:14" ht="18.75" x14ac:dyDescent="0.3">
      <c r="A4" s="15" t="s">
        <v>81</v>
      </c>
      <c r="B4" s="15"/>
      <c r="C4" s="15"/>
      <c r="D4" s="15"/>
      <c r="E4" s="15"/>
      <c r="F4" s="15"/>
    </row>
    <row r="5" spans="1:14" x14ac:dyDescent="0.25">
      <c r="A5" s="1" t="s">
        <v>0</v>
      </c>
      <c r="B5" s="2" t="s">
        <v>1</v>
      </c>
      <c r="C5" s="2" t="s">
        <v>140</v>
      </c>
      <c r="D5" s="3" t="s">
        <v>2</v>
      </c>
      <c r="E5" s="3" t="s">
        <v>3</v>
      </c>
      <c r="F5" s="18" t="s">
        <v>4</v>
      </c>
      <c r="G5" s="20" t="s">
        <v>156</v>
      </c>
      <c r="H5" s="20" t="s">
        <v>157</v>
      </c>
      <c r="I5" s="23" t="s">
        <v>158</v>
      </c>
      <c r="J5" s="23" t="s">
        <v>159</v>
      </c>
    </row>
    <row r="6" spans="1:14" s="7" customFormat="1" x14ac:dyDescent="0.25">
      <c r="A6" s="12">
        <v>1</v>
      </c>
      <c r="B6" s="5" t="s">
        <v>5</v>
      </c>
      <c r="C6" s="5"/>
      <c r="D6" s="4" t="s">
        <v>6</v>
      </c>
      <c r="E6" s="4">
        <v>1</v>
      </c>
      <c r="F6" s="6" t="s">
        <v>7</v>
      </c>
      <c r="G6" s="22">
        <v>168208</v>
      </c>
      <c r="H6" s="22">
        <f>Table1[[#This Row],[UNIT COST]]*Table1[[#This Row],[QTY]]</f>
        <v>168208</v>
      </c>
      <c r="I6" s="22">
        <v>243751.8</v>
      </c>
      <c r="J6" s="22">
        <f>I6*Table1[[#This Row],[QTY]]</f>
        <v>243751.8</v>
      </c>
      <c r="N6"/>
    </row>
    <row r="7" spans="1:14" s="7" customFormat="1" x14ac:dyDescent="0.25">
      <c r="A7" s="12">
        <v>2</v>
      </c>
      <c r="B7" s="5" t="s">
        <v>8</v>
      </c>
      <c r="C7" s="5"/>
      <c r="D7" s="4" t="s">
        <v>9</v>
      </c>
      <c r="E7" s="4">
        <v>8</v>
      </c>
      <c r="F7" s="6" t="s">
        <v>7</v>
      </c>
      <c r="G7" s="22">
        <v>275</v>
      </c>
      <c r="H7" s="22">
        <f>Table1[[#This Row],[UNIT COST]]*Table1[[#This Row],[QTY]]</f>
        <v>2200</v>
      </c>
      <c r="I7" s="22">
        <v>437.14</v>
      </c>
      <c r="J7" s="22">
        <f>I7*Table1[[#This Row],[QTY]]</f>
        <v>3497.12</v>
      </c>
      <c r="N7"/>
    </row>
    <row r="8" spans="1:14" s="7" customFormat="1" x14ac:dyDescent="0.25">
      <c r="A8" s="12">
        <v>3</v>
      </c>
      <c r="B8" s="5" t="s">
        <v>11</v>
      </c>
      <c r="C8" s="5"/>
      <c r="D8" s="4" t="s">
        <v>10</v>
      </c>
      <c r="E8" s="4">
        <v>1</v>
      </c>
      <c r="F8" s="6" t="s">
        <v>7</v>
      </c>
      <c r="G8" s="22">
        <v>2996</v>
      </c>
      <c r="H8" s="22">
        <f>Table1[[#This Row],[UNIT COST]]*Table1[[#This Row],[QTY]]</f>
        <v>2996</v>
      </c>
      <c r="I8" s="22">
        <v>4341.72</v>
      </c>
      <c r="J8" s="22">
        <f>I8*Table1[[#This Row],[QTY]]</f>
        <v>4341.72</v>
      </c>
      <c r="N8"/>
    </row>
    <row r="9" spans="1:14" s="7" customFormat="1" x14ac:dyDescent="0.25">
      <c r="A9" s="12">
        <v>4</v>
      </c>
      <c r="B9" s="5" t="s">
        <v>12</v>
      </c>
      <c r="C9" s="5"/>
      <c r="D9" s="4" t="s">
        <v>10</v>
      </c>
      <c r="E9" s="4">
        <v>6</v>
      </c>
      <c r="F9" s="6" t="s">
        <v>83</v>
      </c>
      <c r="G9" s="22">
        <v>2549</v>
      </c>
      <c r="H9" s="22">
        <f>Table1[[#This Row],[UNIT COST]]*Table1[[#This Row],[QTY]]</f>
        <v>15294</v>
      </c>
      <c r="I9" s="22">
        <v>3693.69</v>
      </c>
      <c r="J9" s="22">
        <f>I9*Table1[[#This Row],[QTY]]</f>
        <v>22162.14</v>
      </c>
      <c r="N9"/>
    </row>
    <row r="10" spans="1:14" s="7" customFormat="1" x14ac:dyDescent="0.25">
      <c r="A10" s="12">
        <v>5</v>
      </c>
      <c r="B10" s="5" t="s">
        <v>13</v>
      </c>
      <c r="C10" s="5"/>
      <c r="D10" s="4" t="s">
        <v>10</v>
      </c>
      <c r="E10" s="4">
        <v>5</v>
      </c>
      <c r="F10" s="6" t="s">
        <v>7</v>
      </c>
      <c r="G10" s="22">
        <v>3344</v>
      </c>
      <c r="H10" s="22">
        <f>Table1[[#This Row],[UNIT COST]]*Table1[[#This Row],[QTY]]</f>
        <v>16720</v>
      </c>
      <c r="I10" s="22">
        <v>4845.41</v>
      </c>
      <c r="J10" s="22">
        <f>I10*Table1[[#This Row],[QTY]]</f>
        <v>24227.05</v>
      </c>
      <c r="N10"/>
    </row>
    <row r="11" spans="1:14" s="7" customFormat="1" x14ac:dyDescent="0.25">
      <c r="A11" s="12">
        <v>6</v>
      </c>
      <c r="B11" s="5" t="s">
        <v>14</v>
      </c>
      <c r="C11" s="5"/>
      <c r="D11" s="4" t="s">
        <v>10</v>
      </c>
      <c r="E11" s="4">
        <v>7</v>
      </c>
      <c r="F11" s="6" t="s">
        <v>7</v>
      </c>
      <c r="G11" s="22">
        <v>2416</v>
      </c>
      <c r="H11" s="22">
        <f>Table1[[#This Row],[UNIT COST]]*Table1[[#This Row],[QTY]]</f>
        <v>16912</v>
      </c>
      <c r="I11" s="22">
        <v>3501.23</v>
      </c>
      <c r="J11" s="22">
        <f>I11*Table1[[#This Row],[QTY]]</f>
        <v>24508.61</v>
      </c>
      <c r="N11"/>
    </row>
    <row r="12" spans="1:14" s="7" customFormat="1" x14ac:dyDescent="0.25">
      <c r="A12" s="12">
        <v>7</v>
      </c>
      <c r="B12" s="5" t="s">
        <v>15</v>
      </c>
      <c r="C12" s="5"/>
      <c r="D12" s="4" t="s">
        <v>16</v>
      </c>
      <c r="E12" s="4">
        <v>1</v>
      </c>
      <c r="F12" s="6" t="s">
        <v>7</v>
      </c>
      <c r="G12" s="22">
        <v>123427</v>
      </c>
      <c r="H12" s="22">
        <f>Table1[[#This Row],[UNIT COST]]*Table1[[#This Row],[QTY]]</f>
        <v>123427</v>
      </c>
      <c r="I12" s="22">
        <v>178858.34</v>
      </c>
      <c r="J12" s="22">
        <f>I12*Table1[[#This Row],[QTY]]</f>
        <v>178858.34</v>
      </c>
      <c r="N12"/>
    </row>
    <row r="13" spans="1:14" s="7" customFormat="1" x14ac:dyDescent="0.25">
      <c r="A13" s="12">
        <v>8</v>
      </c>
      <c r="B13" s="5" t="s">
        <v>141</v>
      </c>
      <c r="C13" s="5"/>
      <c r="D13" s="4" t="s">
        <v>17</v>
      </c>
      <c r="E13" s="4">
        <v>1</v>
      </c>
      <c r="F13" s="6" t="s">
        <v>18</v>
      </c>
      <c r="G13" s="22">
        <v>8227</v>
      </c>
      <c r="H13" s="22">
        <f>Table1[[#This Row],[UNIT COST]]*Table1[[#This Row],[QTY]]</f>
        <v>8227</v>
      </c>
      <c r="I13" s="22">
        <v>11921.57</v>
      </c>
      <c r="J13" s="22">
        <f>I13*Table1[[#This Row],[QTY]]</f>
        <v>11921.57</v>
      </c>
      <c r="N13"/>
    </row>
    <row r="14" spans="1:14" s="7" customFormat="1" x14ac:dyDescent="0.25">
      <c r="A14" s="12">
        <v>9</v>
      </c>
      <c r="B14" s="5" t="s">
        <v>19</v>
      </c>
      <c r="C14" s="5"/>
      <c r="D14" s="4" t="s">
        <v>20</v>
      </c>
      <c r="E14" s="4">
        <v>1</v>
      </c>
      <c r="F14" s="6" t="s">
        <v>21</v>
      </c>
      <c r="G14" s="22">
        <v>12425</v>
      </c>
      <c r="H14" s="22">
        <f>Table1[[#This Row],[UNIT COST]]*Table1[[#This Row],[QTY]]</f>
        <v>12425</v>
      </c>
      <c r="I14" s="22">
        <v>18004.689999999999</v>
      </c>
      <c r="J14" s="22">
        <f>I14*Table1[[#This Row],[QTY]]</f>
        <v>18004.689999999999</v>
      </c>
      <c r="N14"/>
    </row>
    <row r="15" spans="1:14" s="7" customFormat="1" x14ac:dyDescent="0.25">
      <c r="A15" s="12">
        <v>10</v>
      </c>
      <c r="B15" s="5" t="s">
        <v>22</v>
      </c>
      <c r="C15" s="5"/>
      <c r="D15" s="4" t="s">
        <v>23</v>
      </c>
      <c r="E15" s="4">
        <v>1</v>
      </c>
      <c r="F15" s="6" t="s">
        <v>7</v>
      </c>
      <c r="G15" s="22">
        <v>537</v>
      </c>
      <c r="H15" s="22">
        <f>Table1[[#This Row],[UNIT COST]]*Table1[[#This Row],[QTY]]</f>
        <v>537</v>
      </c>
      <c r="I15" s="22">
        <v>790.34</v>
      </c>
      <c r="J15" s="22">
        <f>I15*Table1[[#This Row],[QTY]]</f>
        <v>790.34</v>
      </c>
      <c r="N15"/>
    </row>
    <row r="16" spans="1:14" s="7" customFormat="1" x14ac:dyDescent="0.25">
      <c r="A16" s="12">
        <v>11</v>
      </c>
      <c r="B16" s="5" t="s">
        <v>24</v>
      </c>
      <c r="C16" s="5"/>
      <c r="D16" s="4" t="s">
        <v>25</v>
      </c>
      <c r="E16" s="4">
        <v>1</v>
      </c>
      <c r="F16" s="6" t="s">
        <v>21</v>
      </c>
      <c r="G16" s="22">
        <v>39506</v>
      </c>
      <c r="H16" s="22">
        <f>Table1[[#This Row],[UNIT COST]]*Table1[[#This Row],[QTY]]</f>
        <v>39506</v>
      </c>
      <c r="I16" s="22">
        <v>58101.91</v>
      </c>
      <c r="J16" s="22">
        <f>I16*Table1[[#This Row],[QTY]]</f>
        <v>58101.91</v>
      </c>
      <c r="N16"/>
    </row>
    <row r="17" spans="1:14" s="7" customFormat="1" x14ac:dyDescent="0.25">
      <c r="A17" s="12">
        <v>12</v>
      </c>
      <c r="B17" s="5" t="s">
        <v>26</v>
      </c>
      <c r="C17" s="5"/>
      <c r="D17" s="4" t="s">
        <v>27</v>
      </c>
      <c r="E17" s="4">
        <v>8</v>
      </c>
      <c r="F17" s="6" t="s">
        <v>63</v>
      </c>
      <c r="G17" s="22">
        <v>4359</v>
      </c>
      <c r="H17" s="22">
        <f>Table1[[#This Row],[UNIT COST]]*Table1[[#This Row],[QTY]]</f>
        <v>34872</v>
      </c>
      <c r="I17" s="22">
        <v>6316.54</v>
      </c>
      <c r="J17" s="22">
        <f>I17*Table1[[#This Row],[QTY]]</f>
        <v>50532.32</v>
      </c>
      <c r="N17"/>
    </row>
    <row r="18" spans="1:14" s="7" customFormat="1" x14ac:dyDescent="0.25">
      <c r="A18" s="12">
        <v>13</v>
      </c>
      <c r="B18" s="5" t="s">
        <v>29</v>
      </c>
      <c r="C18" s="5"/>
      <c r="D18" s="4" t="s">
        <v>27</v>
      </c>
      <c r="E18" s="4">
        <v>5</v>
      </c>
      <c r="F18" s="6" t="s">
        <v>62</v>
      </c>
      <c r="G18" s="22">
        <v>4609</v>
      </c>
      <c r="H18" s="22">
        <f>Table1[[#This Row],[UNIT COST]]*Table1[[#This Row],[QTY]]</f>
        <v>23045</v>
      </c>
      <c r="I18" s="22">
        <v>6678.95</v>
      </c>
      <c r="J18" s="22">
        <f>I18*Table1[[#This Row],[QTY]]</f>
        <v>33394.75</v>
      </c>
      <c r="N18"/>
    </row>
    <row r="19" spans="1:14" s="7" customFormat="1" x14ac:dyDescent="0.25">
      <c r="A19" s="12">
        <v>14</v>
      </c>
      <c r="B19" s="5" t="s">
        <v>30</v>
      </c>
      <c r="C19" s="5"/>
      <c r="D19" s="4" t="s">
        <v>27</v>
      </c>
      <c r="E19" s="4">
        <v>1</v>
      </c>
      <c r="F19" s="6" t="s">
        <v>21</v>
      </c>
      <c r="G19" s="22">
        <v>7020</v>
      </c>
      <c r="H19" s="22">
        <f>Table1[[#This Row],[UNIT COST]]*Table1[[#This Row],[QTY]]</f>
        <v>7020</v>
      </c>
      <c r="I19" s="22">
        <v>10324.52</v>
      </c>
      <c r="J19" s="22">
        <f>I19*Table1[[#This Row],[QTY]]</f>
        <v>10324.52</v>
      </c>
      <c r="N19"/>
    </row>
    <row r="20" spans="1:14" s="7" customFormat="1" x14ac:dyDescent="0.25">
      <c r="A20" s="12">
        <v>15</v>
      </c>
      <c r="B20" s="5" t="s">
        <v>31</v>
      </c>
      <c r="C20" s="5"/>
      <c r="D20" s="4" t="s">
        <v>27</v>
      </c>
      <c r="E20" s="4">
        <v>1</v>
      </c>
      <c r="F20" s="6" t="s">
        <v>21</v>
      </c>
      <c r="G20" s="22">
        <v>6960</v>
      </c>
      <c r="H20" s="22">
        <f>Table1[[#This Row],[UNIT COST]]*Table1[[#This Row],[QTY]]</f>
        <v>6960</v>
      </c>
      <c r="I20" s="22">
        <v>10236.48</v>
      </c>
      <c r="J20" s="22">
        <f>I20*Table1[[#This Row],[QTY]]</f>
        <v>10236.48</v>
      </c>
      <c r="N20"/>
    </row>
    <row r="21" spans="1:14" s="7" customFormat="1" x14ac:dyDescent="0.25">
      <c r="A21" s="12">
        <v>16</v>
      </c>
      <c r="B21" s="5" t="s">
        <v>32</v>
      </c>
      <c r="C21" s="5"/>
      <c r="D21" s="4" t="s">
        <v>33</v>
      </c>
      <c r="E21" s="4">
        <v>1</v>
      </c>
      <c r="F21" s="6" t="s">
        <v>7</v>
      </c>
      <c r="G21" s="22">
        <v>571</v>
      </c>
      <c r="H21" s="22">
        <f>Table1[[#This Row],[UNIT COST]]*Table1[[#This Row],[QTY]]</f>
        <v>571</v>
      </c>
      <c r="I21" s="22">
        <v>839.48</v>
      </c>
      <c r="J21" s="22">
        <f>I21*Table1[[#This Row],[QTY]]</f>
        <v>839.48</v>
      </c>
      <c r="N21"/>
    </row>
    <row r="22" spans="1:14" s="7" customFormat="1" x14ac:dyDescent="0.25">
      <c r="A22" s="12">
        <v>17</v>
      </c>
      <c r="B22" s="5" t="s">
        <v>34</v>
      </c>
      <c r="C22" s="5"/>
      <c r="D22" s="4" t="s">
        <v>35</v>
      </c>
      <c r="E22" s="4">
        <v>1</v>
      </c>
      <c r="F22" s="6" t="s">
        <v>28</v>
      </c>
      <c r="G22" s="22">
        <v>171529</v>
      </c>
      <c r="H22" s="22">
        <f>Table1[[#This Row],[UNIT COST]]*Table1[[#This Row],[QTY]]</f>
        <v>171529</v>
      </c>
      <c r="I22" s="22">
        <v>248563.43</v>
      </c>
      <c r="J22" s="22">
        <f>I22*Table1[[#This Row],[QTY]]</f>
        <v>248563.43</v>
      </c>
      <c r="N22"/>
    </row>
    <row r="23" spans="1:14" s="7" customFormat="1" x14ac:dyDescent="0.25">
      <c r="A23" s="12">
        <v>18</v>
      </c>
      <c r="B23" s="5" t="s">
        <v>36</v>
      </c>
      <c r="C23" s="5"/>
      <c r="D23" s="4" t="s">
        <v>37</v>
      </c>
      <c r="E23" s="4">
        <v>1</v>
      </c>
      <c r="F23" s="6" t="s">
        <v>7</v>
      </c>
      <c r="G23" s="22">
        <v>77</v>
      </c>
      <c r="H23" s="22">
        <f>Table1[[#This Row],[UNIT COST]]*Table1[[#This Row],[QTY]]</f>
        <v>77</v>
      </c>
      <c r="I23" s="22">
        <v>112.61</v>
      </c>
      <c r="J23" s="22">
        <f>I23*Table1[[#This Row],[QTY]]</f>
        <v>112.61</v>
      </c>
      <c r="N23"/>
    </row>
    <row r="24" spans="1:14" s="7" customFormat="1" x14ac:dyDescent="0.25">
      <c r="A24" s="12">
        <v>19</v>
      </c>
      <c r="B24" s="5" t="s">
        <v>38</v>
      </c>
      <c r="C24" s="5"/>
      <c r="D24" s="4" t="s">
        <v>37</v>
      </c>
      <c r="E24" s="4">
        <v>1</v>
      </c>
      <c r="F24" s="6" t="s">
        <v>7</v>
      </c>
      <c r="G24" s="22">
        <v>222</v>
      </c>
      <c r="H24" s="22">
        <f>Table1[[#This Row],[UNIT COST]]*Table1[[#This Row],[QTY]]</f>
        <v>222</v>
      </c>
      <c r="I24" s="22">
        <v>326.58</v>
      </c>
      <c r="J24" s="22">
        <f>I24*Table1[[#This Row],[QTY]]</f>
        <v>326.58</v>
      </c>
      <c r="N24"/>
    </row>
    <row r="25" spans="1:14" s="7" customFormat="1" x14ac:dyDescent="0.25">
      <c r="A25" s="12">
        <v>20</v>
      </c>
      <c r="B25" s="5" t="s">
        <v>39</v>
      </c>
      <c r="C25" s="5"/>
      <c r="D25" s="4" t="s">
        <v>40</v>
      </c>
      <c r="E25" s="4">
        <v>1</v>
      </c>
      <c r="F25" s="6" t="s">
        <v>7</v>
      </c>
      <c r="G25" s="22">
        <v>164</v>
      </c>
      <c r="H25" s="22">
        <f>Table1[[#This Row],[UNIT COST]]*Table1[[#This Row],[QTY]]</f>
        <v>164</v>
      </c>
      <c r="I25" s="22">
        <v>240.58</v>
      </c>
      <c r="J25" s="22">
        <f>I25*Table1[[#This Row],[QTY]]</f>
        <v>240.58</v>
      </c>
      <c r="N25"/>
    </row>
    <row r="26" spans="1:14" s="7" customFormat="1" x14ac:dyDescent="0.25">
      <c r="A26" s="12">
        <v>21</v>
      </c>
      <c r="B26" s="5" t="s">
        <v>41</v>
      </c>
      <c r="C26" s="5"/>
      <c r="D26" s="4" t="s">
        <v>42</v>
      </c>
      <c r="E26" s="4">
        <v>1</v>
      </c>
      <c r="F26" s="6" t="s">
        <v>7</v>
      </c>
      <c r="G26" s="22">
        <v>615</v>
      </c>
      <c r="H26" s="22">
        <f>Table1[[#This Row],[UNIT COST]]*Table1[[#This Row],[QTY]]</f>
        <v>615</v>
      </c>
      <c r="I26" s="22">
        <v>891.69</v>
      </c>
      <c r="J26" s="22">
        <f>I26*Table1[[#This Row],[QTY]]</f>
        <v>891.69</v>
      </c>
      <c r="N26"/>
    </row>
    <row r="27" spans="1:14" s="7" customFormat="1" x14ac:dyDescent="0.25">
      <c r="A27" s="12">
        <v>22</v>
      </c>
      <c r="B27" s="16" t="s">
        <v>142</v>
      </c>
      <c r="C27" s="5" t="s">
        <v>43</v>
      </c>
      <c r="D27" s="4" t="s">
        <v>44</v>
      </c>
      <c r="E27" s="4">
        <v>6</v>
      </c>
      <c r="F27" s="6" t="s">
        <v>7</v>
      </c>
      <c r="G27" s="22">
        <v>167</v>
      </c>
      <c r="H27" s="22">
        <f>Table1[[#This Row],[UNIT COST]]*Table1[[#This Row],[QTY]]</f>
        <v>1002</v>
      </c>
      <c r="I27" s="22">
        <v>265.14999999999998</v>
      </c>
      <c r="J27" s="22">
        <f>I27*Table1[[#This Row],[QTY]]</f>
        <v>1590.8999999999999</v>
      </c>
      <c r="N27"/>
    </row>
    <row r="28" spans="1:14" s="7" customFormat="1" x14ac:dyDescent="0.25">
      <c r="A28" s="12">
        <v>23</v>
      </c>
      <c r="B28" s="5" t="s">
        <v>45</v>
      </c>
      <c r="C28" s="5"/>
      <c r="D28" s="4" t="s">
        <v>46</v>
      </c>
      <c r="E28" s="4">
        <v>1</v>
      </c>
      <c r="F28" s="6" t="s">
        <v>83</v>
      </c>
      <c r="G28" s="22">
        <v>85</v>
      </c>
      <c r="H28" s="22">
        <f>Table1[[#This Row],[UNIT COST]]*Table1[[#This Row],[QTY]]</f>
        <v>85</v>
      </c>
      <c r="I28" s="22">
        <v>124.9</v>
      </c>
      <c r="J28" s="22">
        <f>I28*Table1[[#This Row],[QTY]]</f>
        <v>124.9</v>
      </c>
      <c r="N28"/>
    </row>
    <row r="29" spans="1:14" s="7" customFormat="1" x14ac:dyDescent="0.25">
      <c r="A29" s="12">
        <v>24</v>
      </c>
      <c r="B29" s="5" t="s">
        <v>47</v>
      </c>
      <c r="C29" s="5"/>
      <c r="D29" s="4" t="s">
        <v>46</v>
      </c>
      <c r="E29" s="4">
        <v>3</v>
      </c>
      <c r="F29" s="6" t="s">
        <v>7</v>
      </c>
      <c r="G29" s="22">
        <v>160</v>
      </c>
      <c r="H29" s="22">
        <f>Table1[[#This Row],[UNIT COST]]*Table1[[#This Row],[QTY]]</f>
        <v>480</v>
      </c>
      <c r="I29" s="22">
        <v>235.46</v>
      </c>
      <c r="J29" s="22">
        <f>I29*Table1[[#This Row],[QTY]]</f>
        <v>706.38</v>
      </c>
      <c r="N29"/>
    </row>
    <row r="30" spans="1:14" x14ac:dyDescent="0.25">
      <c r="A30" s="12">
        <v>25</v>
      </c>
      <c r="B30" s="5" t="s">
        <v>48</v>
      </c>
      <c r="C30" s="5"/>
      <c r="D30" s="4" t="s">
        <v>49</v>
      </c>
      <c r="E30" s="4">
        <v>2</v>
      </c>
      <c r="F30" s="6" t="s">
        <v>75</v>
      </c>
      <c r="G30" s="22">
        <v>9743</v>
      </c>
      <c r="H30" s="22">
        <f>Table1[[#This Row],[UNIT COST]]*Table1[[#This Row],[QTY]]</f>
        <v>19486</v>
      </c>
      <c r="I30" s="21">
        <v>14118.54</v>
      </c>
      <c r="J30" s="22">
        <f>I30*Table1[[#This Row],[QTY]]</f>
        <v>28237.08</v>
      </c>
    </row>
    <row r="31" spans="1:14" s="7" customFormat="1" x14ac:dyDescent="0.25">
      <c r="A31" s="12">
        <v>26</v>
      </c>
      <c r="B31" s="8" t="s">
        <v>50</v>
      </c>
      <c r="C31" s="8"/>
      <c r="D31" s="4" t="s">
        <v>51</v>
      </c>
      <c r="E31" s="4">
        <v>1</v>
      </c>
      <c r="F31" s="6" t="s">
        <v>75</v>
      </c>
      <c r="G31" s="22">
        <v>11441</v>
      </c>
      <c r="H31" s="22">
        <f>Table1[[#This Row],[UNIT COST]]*Table1[[#This Row],[QTY]]</f>
        <v>11441</v>
      </c>
      <c r="I31" s="22">
        <v>16579.63</v>
      </c>
      <c r="J31" s="22">
        <f>I31*Table1[[#This Row],[QTY]]</f>
        <v>16579.63</v>
      </c>
      <c r="N31"/>
    </row>
    <row r="32" spans="1:14" s="7" customFormat="1" x14ac:dyDescent="0.25">
      <c r="A32" s="12">
        <v>27</v>
      </c>
      <c r="B32" s="5" t="s">
        <v>52</v>
      </c>
      <c r="C32" s="5"/>
      <c r="D32" s="4" t="s">
        <v>53</v>
      </c>
      <c r="E32" s="4">
        <v>1</v>
      </c>
      <c r="F32" s="6" t="s">
        <v>7</v>
      </c>
      <c r="G32" s="22">
        <v>330</v>
      </c>
      <c r="H32" s="22">
        <f>Table1[[#This Row],[UNIT COST]]*Table1[[#This Row],[QTY]]</f>
        <v>330</v>
      </c>
      <c r="I32" s="22">
        <v>524.16</v>
      </c>
      <c r="J32" s="22">
        <f>I32*Table1[[#This Row],[QTY]]</f>
        <v>524.16</v>
      </c>
      <c r="N32"/>
    </row>
    <row r="33" spans="1:14" s="7" customFormat="1" x14ac:dyDescent="0.25">
      <c r="A33" s="12">
        <v>28</v>
      </c>
      <c r="B33" s="5" t="s">
        <v>54</v>
      </c>
      <c r="C33" s="5"/>
      <c r="D33" s="4" t="s">
        <v>53</v>
      </c>
      <c r="E33" s="4">
        <v>15</v>
      </c>
      <c r="F33" s="6" t="s">
        <v>7</v>
      </c>
      <c r="G33" s="22">
        <v>555</v>
      </c>
      <c r="H33" s="22">
        <f>Table1[[#This Row],[UNIT COST]]*Table1[[#This Row],[QTY]]</f>
        <v>8325</v>
      </c>
      <c r="I33" s="22">
        <v>882.47</v>
      </c>
      <c r="J33" s="22">
        <f>I33*Table1[[#This Row],[QTY]]</f>
        <v>13237.050000000001</v>
      </c>
      <c r="N33"/>
    </row>
    <row r="34" spans="1:14" x14ac:dyDescent="0.25">
      <c r="A34" s="12">
        <v>29</v>
      </c>
      <c r="B34" s="5" t="s">
        <v>55</v>
      </c>
      <c r="C34" s="5"/>
      <c r="D34" s="4" t="s">
        <v>53</v>
      </c>
      <c r="E34" s="4">
        <v>3</v>
      </c>
      <c r="F34" s="6" t="s">
        <v>7</v>
      </c>
      <c r="G34" s="22">
        <v>4397</v>
      </c>
      <c r="H34" s="22">
        <f>Table1[[#This Row],[UNIT COST]]*Table1[[#This Row],[QTY]]</f>
        <v>13191</v>
      </c>
      <c r="I34" s="21">
        <v>6986.07</v>
      </c>
      <c r="J34" s="22">
        <f>I34*Table1[[#This Row],[QTY]]</f>
        <v>20958.21</v>
      </c>
    </row>
    <row r="35" spans="1:14" x14ac:dyDescent="0.25">
      <c r="A35" s="12">
        <v>30</v>
      </c>
      <c r="B35" s="5" t="s">
        <v>56</v>
      </c>
      <c r="C35" s="5"/>
      <c r="D35" s="4" t="s">
        <v>53</v>
      </c>
      <c r="E35" s="4">
        <v>20</v>
      </c>
      <c r="F35" s="6" t="s">
        <v>7</v>
      </c>
      <c r="G35" s="22">
        <v>824</v>
      </c>
      <c r="H35" s="22">
        <f>Table1[[#This Row],[UNIT COST]]*Table1[[#This Row],[QTY]]</f>
        <v>16480</v>
      </c>
      <c r="I35" s="21">
        <v>1309.3800000000001</v>
      </c>
      <c r="J35" s="22">
        <f>I35*Table1[[#This Row],[QTY]]</f>
        <v>26187.600000000002</v>
      </c>
    </row>
    <row r="36" spans="1:14" x14ac:dyDescent="0.25">
      <c r="A36" s="12">
        <v>31</v>
      </c>
      <c r="B36" s="5" t="s">
        <v>57</v>
      </c>
      <c r="C36" s="5"/>
      <c r="D36" s="4" t="s">
        <v>53</v>
      </c>
      <c r="E36" s="4">
        <v>20</v>
      </c>
      <c r="F36" s="6" t="s">
        <v>7</v>
      </c>
      <c r="G36" s="22">
        <v>672</v>
      </c>
      <c r="H36" s="22">
        <f>Table1[[#This Row],[UNIT COST]]*Table1[[#This Row],[QTY]]</f>
        <v>13440</v>
      </c>
      <c r="I36" s="21">
        <v>1067.77</v>
      </c>
      <c r="J36" s="22">
        <f>I36*Table1[[#This Row],[QTY]]</f>
        <v>21355.4</v>
      </c>
    </row>
    <row r="37" spans="1:14" x14ac:dyDescent="0.25">
      <c r="A37" s="12">
        <v>32</v>
      </c>
      <c r="B37" s="5" t="s">
        <v>58</v>
      </c>
      <c r="C37" s="5"/>
      <c r="D37" s="4" t="s">
        <v>59</v>
      </c>
      <c r="E37" s="4">
        <v>4</v>
      </c>
      <c r="F37" s="6" t="s">
        <v>7</v>
      </c>
      <c r="G37" s="22">
        <v>2818</v>
      </c>
      <c r="H37" s="22">
        <f>Table1[[#This Row],[UNIT COST]]*Table1[[#This Row],[QTY]]</f>
        <v>11272</v>
      </c>
      <c r="I37" s="21">
        <v>4477.88</v>
      </c>
      <c r="J37" s="22">
        <f>I37*Table1[[#This Row],[QTY]]</f>
        <v>17911.52</v>
      </c>
    </row>
    <row r="38" spans="1:14" x14ac:dyDescent="0.25">
      <c r="A38" s="12">
        <v>33</v>
      </c>
      <c r="B38" s="9" t="s">
        <v>60</v>
      </c>
      <c r="C38" s="9"/>
      <c r="D38" s="10" t="s">
        <v>61</v>
      </c>
      <c r="E38" s="10">
        <v>1</v>
      </c>
      <c r="F38" s="11" t="s">
        <v>21</v>
      </c>
      <c r="G38" s="22">
        <v>198954</v>
      </c>
      <c r="H38" s="22">
        <f>Table1[[#This Row],[UNIT COST]]*Table1[[#This Row],[QTY]]</f>
        <v>198954</v>
      </c>
      <c r="I38" s="21">
        <v>292602.08</v>
      </c>
      <c r="J38" s="22">
        <f>I38*Table1[[#This Row],[QTY]]</f>
        <v>292602.08</v>
      </c>
    </row>
    <row r="39" spans="1:14" s="14" customFormat="1" x14ac:dyDescent="0.25">
      <c r="A39" s="12">
        <v>34</v>
      </c>
      <c r="B39" s="12" t="s">
        <v>64</v>
      </c>
      <c r="C39" s="12"/>
      <c r="D39" s="4" t="s">
        <v>65</v>
      </c>
      <c r="E39" s="4">
        <v>6</v>
      </c>
      <c r="F39" s="6" t="s">
        <v>66</v>
      </c>
      <c r="G39" s="22">
        <v>12603</v>
      </c>
      <c r="H39" s="22">
        <f>Table1[[#This Row],[UNIT COST]]*Table1[[#This Row],[QTY]]</f>
        <v>75618</v>
      </c>
      <c r="I39" s="21">
        <v>18263.7</v>
      </c>
      <c r="J39" s="22">
        <f>I39*Table1[[#This Row],[QTY]]</f>
        <v>109582.20000000001</v>
      </c>
      <c r="K39" s="19"/>
    </row>
    <row r="40" spans="1:14" s="14" customFormat="1" x14ac:dyDescent="0.25">
      <c r="A40" s="12">
        <v>35</v>
      </c>
      <c r="B40" s="12" t="s">
        <v>67</v>
      </c>
      <c r="C40" s="12"/>
      <c r="D40" s="4" t="s">
        <v>68</v>
      </c>
      <c r="E40" s="4">
        <v>1</v>
      </c>
      <c r="F40" s="6" t="s">
        <v>66</v>
      </c>
      <c r="G40" s="22">
        <v>161015</v>
      </c>
      <c r="H40" s="22">
        <f>Table1[[#This Row],[UNIT COST]]*Table1[[#This Row],[QTY]]</f>
        <v>161015</v>
      </c>
      <c r="I40" s="21">
        <v>233327.98</v>
      </c>
      <c r="J40" s="22">
        <f>I40*Table1[[#This Row],[QTY]]</f>
        <v>233327.98</v>
      </c>
      <c r="K40" s="19"/>
    </row>
    <row r="41" spans="1:14" s="14" customFormat="1" x14ac:dyDescent="0.25">
      <c r="A41" s="12">
        <v>36</v>
      </c>
      <c r="B41" s="12" t="s">
        <v>69</v>
      </c>
      <c r="C41" s="12"/>
      <c r="D41" s="4" t="s">
        <v>70</v>
      </c>
      <c r="E41" s="4">
        <v>1</v>
      </c>
      <c r="F41" s="6" t="s">
        <v>66</v>
      </c>
      <c r="G41" s="22">
        <v>38912</v>
      </c>
      <c r="H41" s="22">
        <f>Table1[[#This Row],[UNIT COST]]*Table1[[#This Row],[QTY]]</f>
        <v>38912</v>
      </c>
      <c r="I41" s="21">
        <v>56387.13</v>
      </c>
      <c r="J41" s="22">
        <f>I41*Table1[[#This Row],[QTY]]</f>
        <v>56387.13</v>
      </c>
      <c r="K41" s="19"/>
    </row>
    <row r="42" spans="1:14" s="14" customFormat="1" x14ac:dyDescent="0.25">
      <c r="A42" s="12">
        <v>37</v>
      </c>
      <c r="B42" s="12" t="s">
        <v>71</v>
      </c>
      <c r="C42" s="12"/>
      <c r="D42" s="4" t="s">
        <v>72</v>
      </c>
      <c r="E42" s="4">
        <v>1</v>
      </c>
      <c r="F42" s="6" t="s">
        <v>66</v>
      </c>
      <c r="G42" s="22">
        <v>48790</v>
      </c>
      <c r="H42" s="22">
        <f>Table1[[#This Row],[UNIT COST]]*Table1[[#This Row],[QTY]]</f>
        <v>48790</v>
      </c>
      <c r="I42" s="21">
        <v>70702.22</v>
      </c>
      <c r="J42" s="22">
        <f>I42*Table1[[#This Row],[QTY]]</f>
        <v>70702.22</v>
      </c>
      <c r="K42" s="19"/>
    </row>
    <row r="43" spans="1:14" s="14" customFormat="1" x14ac:dyDescent="0.25">
      <c r="A43" s="12">
        <v>38</v>
      </c>
      <c r="B43" s="12" t="s">
        <v>73</v>
      </c>
      <c r="C43" s="12"/>
      <c r="D43" s="4" t="s">
        <v>74</v>
      </c>
      <c r="E43" s="4">
        <v>1</v>
      </c>
      <c r="F43" s="6" t="s">
        <v>75</v>
      </c>
      <c r="G43" s="22">
        <v>1133</v>
      </c>
      <c r="H43" s="22">
        <f>Table1[[#This Row],[UNIT COST]]*Table1[[#This Row],[QTY]]</f>
        <v>1133</v>
      </c>
      <c r="I43" s="21">
        <v>1642.1</v>
      </c>
      <c r="J43" s="22">
        <f>I43*Table1[[#This Row],[QTY]]</f>
        <v>1642.1</v>
      </c>
      <c r="K43" s="19"/>
    </row>
    <row r="44" spans="1:14" s="14" customFormat="1" x14ac:dyDescent="0.25">
      <c r="A44" s="12">
        <v>39</v>
      </c>
      <c r="B44" s="12" t="s">
        <v>76</v>
      </c>
      <c r="C44" s="12"/>
      <c r="D44" s="4" t="s">
        <v>77</v>
      </c>
      <c r="E44" s="4">
        <v>1</v>
      </c>
      <c r="F44" s="6" t="s">
        <v>75</v>
      </c>
      <c r="G44" s="22">
        <v>1330</v>
      </c>
      <c r="H44" s="22">
        <f>Table1[[#This Row],[UNIT COST]]*Table1[[#This Row],[QTY]]</f>
        <v>1330</v>
      </c>
      <c r="I44" s="21">
        <v>1913.39</v>
      </c>
      <c r="J44" s="22">
        <f>I44*Table1[[#This Row],[QTY]]</f>
        <v>1913.39</v>
      </c>
      <c r="K44" s="19"/>
    </row>
    <row r="45" spans="1:14" s="14" customFormat="1" x14ac:dyDescent="0.25">
      <c r="A45" s="12">
        <v>40</v>
      </c>
      <c r="B45" s="12" t="s">
        <v>78</v>
      </c>
      <c r="C45" s="12"/>
      <c r="D45" s="4" t="s">
        <v>65</v>
      </c>
      <c r="E45" s="4">
        <v>3</v>
      </c>
      <c r="F45" s="6" t="s">
        <v>62</v>
      </c>
      <c r="G45" s="22">
        <v>5293</v>
      </c>
      <c r="H45" s="22">
        <f>Table1[[#This Row],[UNIT COST]]*Table1[[#This Row],[QTY]]</f>
        <v>15879</v>
      </c>
      <c r="I45" s="21">
        <v>7669.94</v>
      </c>
      <c r="J45" s="22">
        <f>I45*Table1[[#This Row],[QTY]]</f>
        <v>23009.82</v>
      </c>
      <c r="K45" s="19"/>
    </row>
    <row r="46" spans="1:14" x14ac:dyDescent="0.25">
      <c r="A46" s="12">
        <v>41</v>
      </c>
      <c r="B46" s="9" t="s">
        <v>84</v>
      </c>
      <c r="C46" s="9"/>
      <c r="D46" s="10" t="s">
        <v>46</v>
      </c>
      <c r="E46" s="10">
        <v>1</v>
      </c>
      <c r="F46" s="11" t="s">
        <v>85</v>
      </c>
      <c r="G46" s="22">
        <v>85</v>
      </c>
      <c r="H46" s="22">
        <f>Table1[[#This Row],[UNIT COST]]*Table1[[#This Row],[QTY]]</f>
        <v>85</v>
      </c>
      <c r="I46" s="21">
        <v>124.9</v>
      </c>
      <c r="J46" s="22">
        <f>I46*Table1[[#This Row],[QTY]]</f>
        <v>124.9</v>
      </c>
    </row>
    <row r="47" spans="1:14" x14ac:dyDescent="0.25">
      <c r="A47" s="12">
        <v>42</v>
      </c>
      <c r="B47" s="9" t="s">
        <v>86</v>
      </c>
      <c r="C47" s="9"/>
      <c r="D47" s="10" t="s">
        <v>46</v>
      </c>
      <c r="E47" s="10">
        <v>1</v>
      </c>
      <c r="F47" s="11" t="s">
        <v>85</v>
      </c>
      <c r="G47" s="22">
        <v>70</v>
      </c>
      <c r="H47" s="22">
        <f>Table1[[#This Row],[UNIT COST]]*Table1[[#This Row],[QTY]]</f>
        <v>70</v>
      </c>
      <c r="I47" s="21">
        <v>102.38</v>
      </c>
      <c r="J47" s="22">
        <f>I47*Table1[[#This Row],[QTY]]</f>
        <v>102.38</v>
      </c>
    </row>
    <row r="48" spans="1:14" x14ac:dyDescent="0.25">
      <c r="A48" s="12">
        <v>43</v>
      </c>
      <c r="B48" s="9" t="s">
        <v>87</v>
      </c>
      <c r="C48" s="9"/>
      <c r="D48" s="10" t="s">
        <v>46</v>
      </c>
      <c r="E48" s="10">
        <v>1</v>
      </c>
      <c r="F48" s="11" t="s">
        <v>85</v>
      </c>
      <c r="G48" s="22">
        <v>300</v>
      </c>
      <c r="H48" s="22">
        <f>Table1[[#This Row],[UNIT COST]]*Table1[[#This Row],[QTY]]</f>
        <v>300</v>
      </c>
      <c r="I48" s="21">
        <v>441.24</v>
      </c>
      <c r="J48" s="22">
        <f>I48*Table1[[#This Row],[QTY]]</f>
        <v>441.24</v>
      </c>
    </row>
    <row r="49" spans="1:10" x14ac:dyDescent="0.25">
      <c r="A49" s="12">
        <v>44</v>
      </c>
      <c r="B49" s="9" t="s">
        <v>88</v>
      </c>
      <c r="C49" s="9"/>
      <c r="D49" s="10" t="s">
        <v>46</v>
      </c>
      <c r="E49" s="10">
        <v>1</v>
      </c>
      <c r="F49" s="11" t="s">
        <v>85</v>
      </c>
      <c r="G49" s="22">
        <v>266</v>
      </c>
      <c r="H49" s="22">
        <f>Table1[[#This Row],[UNIT COST]]*Table1[[#This Row],[QTY]]</f>
        <v>266</v>
      </c>
      <c r="I49" s="21">
        <v>391.07</v>
      </c>
      <c r="J49" s="22">
        <f>I49*Table1[[#This Row],[QTY]]</f>
        <v>391.07</v>
      </c>
    </row>
    <row r="50" spans="1:10" x14ac:dyDescent="0.25">
      <c r="A50" s="12">
        <v>45</v>
      </c>
      <c r="B50" s="9" t="s">
        <v>89</v>
      </c>
      <c r="C50" s="9"/>
      <c r="D50" s="10" t="s">
        <v>46</v>
      </c>
      <c r="E50" s="10">
        <v>1</v>
      </c>
      <c r="F50" s="11" t="s">
        <v>85</v>
      </c>
      <c r="G50" s="22">
        <v>144</v>
      </c>
      <c r="H50" s="22">
        <f>Table1[[#This Row],[UNIT COST]]*Table1[[#This Row],[QTY]]</f>
        <v>144</v>
      </c>
      <c r="I50" s="21">
        <v>211.92</v>
      </c>
      <c r="J50" s="22">
        <f>I50*Table1[[#This Row],[QTY]]</f>
        <v>211.92</v>
      </c>
    </row>
    <row r="51" spans="1:10" x14ac:dyDescent="0.25">
      <c r="A51" s="12">
        <v>46</v>
      </c>
      <c r="B51" s="17" t="s">
        <v>143</v>
      </c>
      <c r="C51" s="9" t="s">
        <v>90</v>
      </c>
      <c r="D51" s="10" t="s">
        <v>46</v>
      </c>
      <c r="E51" s="10">
        <v>1</v>
      </c>
      <c r="F51" s="11" t="s">
        <v>85</v>
      </c>
      <c r="G51" s="22">
        <v>329</v>
      </c>
      <c r="H51" s="22">
        <f>Table1[[#This Row],[UNIT COST]]*Table1[[#This Row],[QTY]]</f>
        <v>329</v>
      </c>
      <c r="I51" s="21">
        <v>483.21</v>
      </c>
      <c r="J51" s="22">
        <f>I51*Table1[[#This Row],[QTY]]</f>
        <v>483.21</v>
      </c>
    </row>
    <row r="52" spans="1:10" x14ac:dyDescent="0.25">
      <c r="A52" s="12">
        <v>47</v>
      </c>
      <c r="B52" s="9" t="s">
        <v>91</v>
      </c>
      <c r="C52" s="9"/>
      <c r="D52" s="10" t="s">
        <v>46</v>
      </c>
      <c r="E52" s="10">
        <v>1</v>
      </c>
      <c r="F52" s="11" t="s">
        <v>85</v>
      </c>
      <c r="G52" s="22">
        <v>500</v>
      </c>
      <c r="H52" s="22">
        <f>Table1[[#This Row],[UNIT COST]]*Table1[[#This Row],[QTY]]</f>
        <v>500</v>
      </c>
      <c r="I52" s="21">
        <v>735.05</v>
      </c>
      <c r="J52" s="22">
        <f>I52*Table1[[#This Row],[QTY]]</f>
        <v>735.05</v>
      </c>
    </row>
    <row r="53" spans="1:10" x14ac:dyDescent="0.25">
      <c r="A53" s="12">
        <v>48</v>
      </c>
      <c r="B53" s="9" t="s">
        <v>92</v>
      </c>
      <c r="C53" s="9"/>
      <c r="D53" s="10" t="s">
        <v>46</v>
      </c>
      <c r="E53" s="10">
        <v>1</v>
      </c>
      <c r="F53" s="11" t="s">
        <v>85</v>
      </c>
      <c r="G53" s="22">
        <v>753</v>
      </c>
      <c r="H53" s="22">
        <f>Table1[[#This Row],[UNIT COST]]*Table1[[#This Row],[QTY]]</f>
        <v>753</v>
      </c>
      <c r="I53" s="21">
        <v>1107.7</v>
      </c>
      <c r="J53" s="22">
        <f>I53*Table1[[#This Row],[QTY]]</f>
        <v>1107.7</v>
      </c>
    </row>
    <row r="54" spans="1:10" x14ac:dyDescent="0.25">
      <c r="A54" s="12">
        <v>49</v>
      </c>
      <c r="B54" s="9" t="s">
        <v>93</v>
      </c>
      <c r="C54" s="9"/>
      <c r="D54" s="10" t="s">
        <v>46</v>
      </c>
      <c r="E54" s="10">
        <v>6</v>
      </c>
      <c r="F54" s="11" t="s">
        <v>85</v>
      </c>
      <c r="G54" s="22">
        <v>210</v>
      </c>
      <c r="H54" s="22">
        <f>Table1[[#This Row],[UNIT COST]]*Table1[[#This Row],[QTY]]</f>
        <v>1260</v>
      </c>
      <c r="I54" s="21">
        <v>308.14999999999998</v>
      </c>
      <c r="J54" s="22">
        <f>I54*Table1[[#This Row],[QTY]]</f>
        <v>1848.8999999999999</v>
      </c>
    </row>
    <row r="55" spans="1:10" x14ac:dyDescent="0.25">
      <c r="A55" s="12">
        <v>50</v>
      </c>
      <c r="B55" s="9" t="s">
        <v>144</v>
      </c>
      <c r="C55" s="9"/>
      <c r="D55" s="10" t="s">
        <v>46</v>
      </c>
      <c r="E55" s="10">
        <v>2</v>
      </c>
      <c r="F55" s="11" t="s">
        <v>85</v>
      </c>
      <c r="G55" s="22">
        <v>476</v>
      </c>
      <c r="H55" s="22">
        <f>Table1[[#This Row],[UNIT COST]]*Table1[[#This Row],[QTY]]</f>
        <v>952</v>
      </c>
      <c r="I55" s="21">
        <v>700.25</v>
      </c>
      <c r="J55" s="22">
        <f>I55*Table1[[#This Row],[QTY]]</f>
        <v>1400.5</v>
      </c>
    </row>
    <row r="56" spans="1:10" x14ac:dyDescent="0.25">
      <c r="A56" s="12">
        <v>51</v>
      </c>
      <c r="B56" s="9" t="s">
        <v>94</v>
      </c>
      <c r="C56" s="9"/>
      <c r="D56" s="10" t="s">
        <v>46</v>
      </c>
      <c r="E56" s="10">
        <v>1</v>
      </c>
      <c r="F56" s="11" t="s">
        <v>85</v>
      </c>
      <c r="G56" s="22">
        <v>539</v>
      </c>
      <c r="H56" s="22">
        <f>Table1[[#This Row],[UNIT COST]]*Table1[[#This Row],[QTY]]</f>
        <v>539</v>
      </c>
      <c r="I56" s="21">
        <v>793.41</v>
      </c>
      <c r="J56" s="22">
        <f>I56*Table1[[#This Row],[QTY]]</f>
        <v>793.41</v>
      </c>
    </row>
    <row r="57" spans="1:10" x14ac:dyDescent="0.25">
      <c r="A57" s="12">
        <v>52</v>
      </c>
      <c r="B57" s="9" t="s">
        <v>95</v>
      </c>
      <c r="C57" s="9"/>
      <c r="D57" s="10" t="s">
        <v>46</v>
      </c>
      <c r="E57" s="10">
        <v>1</v>
      </c>
      <c r="F57" s="11" t="s">
        <v>85</v>
      </c>
      <c r="G57" s="22">
        <v>540</v>
      </c>
      <c r="H57" s="22">
        <f>Table1[[#This Row],[UNIT COST]]*Table1[[#This Row],[QTY]]</f>
        <v>540</v>
      </c>
      <c r="I57" s="21">
        <v>794.43</v>
      </c>
      <c r="J57" s="22">
        <f>I57*Table1[[#This Row],[QTY]]</f>
        <v>794.43</v>
      </c>
    </row>
    <row r="58" spans="1:10" x14ac:dyDescent="0.25">
      <c r="A58" s="12">
        <v>53</v>
      </c>
      <c r="B58" s="9" t="s">
        <v>96</v>
      </c>
      <c r="C58" s="9"/>
      <c r="D58" s="10" t="s">
        <v>46</v>
      </c>
      <c r="E58" s="10">
        <v>2</v>
      </c>
      <c r="F58" s="11" t="s">
        <v>85</v>
      </c>
      <c r="G58" s="22">
        <v>74</v>
      </c>
      <c r="H58" s="22">
        <f>Table1[[#This Row],[UNIT COST]]*Table1[[#This Row],[QTY]]</f>
        <v>148</v>
      </c>
      <c r="I58" s="21">
        <v>108.52</v>
      </c>
      <c r="J58" s="22">
        <f>I58*Table1[[#This Row],[QTY]]</f>
        <v>217.04</v>
      </c>
    </row>
    <row r="59" spans="1:10" x14ac:dyDescent="0.25">
      <c r="A59" s="12">
        <v>54</v>
      </c>
      <c r="B59" s="9" t="s">
        <v>97</v>
      </c>
      <c r="C59" s="9"/>
      <c r="D59" s="10" t="s">
        <v>107</v>
      </c>
      <c r="E59" s="10">
        <v>1</v>
      </c>
      <c r="F59" s="11" t="s">
        <v>85</v>
      </c>
      <c r="G59" s="22">
        <v>78</v>
      </c>
      <c r="H59" s="22">
        <f>Table1[[#This Row],[UNIT COST]]*Table1[[#This Row],[QTY]]</f>
        <v>78</v>
      </c>
      <c r="I59" s="21">
        <v>114.66</v>
      </c>
      <c r="J59" s="22">
        <f>I59*Table1[[#This Row],[QTY]]</f>
        <v>114.66</v>
      </c>
    </row>
    <row r="60" spans="1:10" x14ac:dyDescent="0.25">
      <c r="A60" s="12">
        <v>55</v>
      </c>
      <c r="B60" s="9" t="s">
        <v>98</v>
      </c>
      <c r="C60" s="9"/>
      <c r="D60" s="10" t="s">
        <v>99</v>
      </c>
      <c r="E60" s="10">
        <v>2</v>
      </c>
      <c r="F60" s="11" t="s">
        <v>85</v>
      </c>
      <c r="G60" s="22">
        <v>102</v>
      </c>
      <c r="H60" s="22">
        <f>Table1[[#This Row],[UNIT COST]]*Table1[[#This Row],[QTY]]</f>
        <v>204</v>
      </c>
      <c r="I60" s="21">
        <v>149.47</v>
      </c>
      <c r="J60" s="22">
        <f>I60*Table1[[#This Row],[QTY]]</f>
        <v>298.94</v>
      </c>
    </row>
    <row r="61" spans="1:10" x14ac:dyDescent="0.25">
      <c r="A61" s="12">
        <v>56</v>
      </c>
      <c r="B61" s="9" t="s">
        <v>100</v>
      </c>
      <c r="C61" s="9"/>
      <c r="D61" s="10" t="s">
        <v>46</v>
      </c>
      <c r="E61" s="10">
        <v>1</v>
      </c>
      <c r="F61" s="11" t="s">
        <v>85</v>
      </c>
      <c r="G61" s="22">
        <v>188</v>
      </c>
      <c r="H61" s="22">
        <f>Table1[[#This Row],[UNIT COST]]*Table1[[#This Row],[QTY]]</f>
        <v>188</v>
      </c>
      <c r="I61" s="21">
        <v>276.41000000000003</v>
      </c>
      <c r="J61" s="22">
        <f>I61*Table1[[#This Row],[QTY]]</f>
        <v>276.41000000000003</v>
      </c>
    </row>
    <row r="62" spans="1:10" x14ac:dyDescent="0.25">
      <c r="A62" s="12">
        <v>57</v>
      </c>
      <c r="B62" s="9" t="s">
        <v>101</v>
      </c>
      <c r="C62" s="9"/>
      <c r="D62" s="10" t="s">
        <v>102</v>
      </c>
      <c r="E62" s="10">
        <v>12</v>
      </c>
      <c r="F62" s="11" t="s">
        <v>85</v>
      </c>
      <c r="G62" s="22">
        <v>4678</v>
      </c>
      <c r="H62" s="22">
        <f>Table1[[#This Row],[UNIT COST]]*Table1[[#This Row],[QTY]]</f>
        <v>56136</v>
      </c>
      <c r="I62" s="21">
        <v>6879.6</v>
      </c>
      <c r="J62" s="22">
        <f>I62*Table1[[#This Row],[QTY]]</f>
        <v>82555.200000000012</v>
      </c>
    </row>
    <row r="63" spans="1:10" x14ac:dyDescent="0.25">
      <c r="A63" s="12">
        <v>58</v>
      </c>
      <c r="B63" s="9" t="s">
        <v>103</v>
      </c>
      <c r="C63" s="9"/>
      <c r="D63" s="10" t="s">
        <v>106</v>
      </c>
      <c r="E63" s="10">
        <v>2</v>
      </c>
      <c r="F63" s="11" t="s">
        <v>85</v>
      </c>
      <c r="G63" s="22">
        <v>114</v>
      </c>
      <c r="H63" s="22">
        <f>Table1[[#This Row],[UNIT COST]]*Table1[[#This Row],[QTY]]</f>
        <v>228</v>
      </c>
      <c r="I63" s="21">
        <v>167.9</v>
      </c>
      <c r="J63" s="22">
        <f>I63*Table1[[#This Row],[QTY]]</f>
        <v>335.8</v>
      </c>
    </row>
    <row r="64" spans="1:10" x14ac:dyDescent="0.25">
      <c r="A64" s="12">
        <v>59</v>
      </c>
      <c r="B64" s="9" t="s">
        <v>145</v>
      </c>
      <c r="C64" s="9"/>
      <c r="D64" s="10" t="s">
        <v>105</v>
      </c>
      <c r="E64" s="10">
        <v>4</v>
      </c>
      <c r="F64" s="11" t="s">
        <v>85</v>
      </c>
      <c r="G64" s="22">
        <v>1765</v>
      </c>
      <c r="H64" s="22">
        <f>Table1[[#This Row],[UNIT COST]]*Table1[[#This Row],[QTY]]</f>
        <v>7060</v>
      </c>
      <c r="I64" s="21">
        <v>2595.21</v>
      </c>
      <c r="J64" s="22">
        <f>I64*Table1[[#This Row],[QTY]]</f>
        <v>10380.84</v>
      </c>
    </row>
    <row r="65" spans="1:10" x14ac:dyDescent="0.25">
      <c r="A65" s="12">
        <v>60</v>
      </c>
      <c r="B65" s="9" t="s">
        <v>104</v>
      </c>
      <c r="C65" s="9"/>
      <c r="D65" s="10" t="s">
        <v>102</v>
      </c>
      <c r="E65" s="10">
        <v>2</v>
      </c>
      <c r="F65" s="11" t="s">
        <v>85</v>
      </c>
      <c r="G65" s="22">
        <v>1810</v>
      </c>
      <c r="H65" s="22">
        <f>Table1[[#This Row],[UNIT COST]]*Table1[[#This Row],[QTY]]</f>
        <v>3620</v>
      </c>
      <c r="I65" s="21">
        <v>2662.77</v>
      </c>
      <c r="J65" s="22">
        <f>I65*Table1[[#This Row],[QTY]]</f>
        <v>5325.54</v>
      </c>
    </row>
    <row r="66" spans="1:10" x14ac:dyDescent="0.25">
      <c r="A66" s="12">
        <v>61</v>
      </c>
      <c r="B66" s="9" t="s">
        <v>109</v>
      </c>
      <c r="C66" s="9"/>
      <c r="D66" s="10" t="s">
        <v>108</v>
      </c>
      <c r="E66" s="10">
        <v>8</v>
      </c>
      <c r="F66" s="11" t="s">
        <v>85</v>
      </c>
      <c r="G66" s="22">
        <v>1412</v>
      </c>
      <c r="H66" s="22">
        <f>Table1[[#This Row],[UNIT COST]]*Table1[[#This Row],[QTY]]</f>
        <v>11296</v>
      </c>
      <c r="I66" s="21">
        <v>2076.17</v>
      </c>
      <c r="J66" s="22">
        <f>I66*Table1[[#This Row],[QTY]]</f>
        <v>16609.36</v>
      </c>
    </row>
    <row r="67" spans="1:10" x14ac:dyDescent="0.25">
      <c r="A67" s="12">
        <v>62</v>
      </c>
      <c r="B67" s="9" t="s">
        <v>110</v>
      </c>
      <c r="C67" s="9"/>
      <c r="D67" s="10" t="s">
        <v>111</v>
      </c>
      <c r="E67" s="10">
        <v>14</v>
      </c>
      <c r="F67" s="11" t="s">
        <v>85</v>
      </c>
      <c r="G67" s="22">
        <v>76</v>
      </c>
      <c r="H67" s="22">
        <f>Table1[[#This Row],[UNIT COST]]*Table1[[#This Row],[QTY]]</f>
        <v>1064</v>
      </c>
      <c r="I67" s="21">
        <v>111.59</v>
      </c>
      <c r="J67" s="22">
        <f>I67*Table1[[#This Row],[QTY]]</f>
        <v>1562.26</v>
      </c>
    </row>
    <row r="68" spans="1:10" x14ac:dyDescent="0.25">
      <c r="A68" s="12">
        <v>63</v>
      </c>
      <c r="B68" s="9" t="s">
        <v>112</v>
      </c>
      <c r="C68" s="9"/>
      <c r="D68" s="10" t="s">
        <v>113</v>
      </c>
      <c r="E68" s="10">
        <v>4</v>
      </c>
      <c r="F68" s="11" t="s">
        <v>85</v>
      </c>
      <c r="G68" s="22">
        <v>34</v>
      </c>
      <c r="H68" s="22">
        <f>Table1[[#This Row],[UNIT COST]]*Table1[[#This Row],[QTY]]</f>
        <v>136</v>
      </c>
      <c r="I68" s="21">
        <v>50.16</v>
      </c>
      <c r="J68" s="22">
        <f>I68*Table1[[#This Row],[QTY]]</f>
        <v>200.64</v>
      </c>
    </row>
    <row r="69" spans="1:10" x14ac:dyDescent="0.25">
      <c r="A69" s="12">
        <v>64</v>
      </c>
      <c r="B69" s="9" t="s">
        <v>114</v>
      </c>
      <c r="C69" s="9"/>
      <c r="D69" s="10" t="s">
        <v>115</v>
      </c>
      <c r="E69" s="10">
        <v>3</v>
      </c>
      <c r="F69" s="11" t="s">
        <v>85</v>
      </c>
      <c r="G69" s="22">
        <v>23</v>
      </c>
      <c r="H69" s="22">
        <f>Table1[[#This Row],[UNIT COST]]*Table1[[#This Row],[QTY]]</f>
        <v>69</v>
      </c>
      <c r="I69" s="21">
        <v>35.83</v>
      </c>
      <c r="J69" s="22">
        <f>I69*Table1[[#This Row],[QTY]]</f>
        <v>107.49</v>
      </c>
    </row>
    <row r="70" spans="1:10" x14ac:dyDescent="0.25">
      <c r="A70" s="12">
        <v>65</v>
      </c>
      <c r="B70" s="9" t="s">
        <v>116</v>
      </c>
      <c r="C70" s="9"/>
      <c r="D70" s="10" t="s">
        <v>117</v>
      </c>
      <c r="E70" s="10">
        <v>4</v>
      </c>
      <c r="F70" s="11" t="s">
        <v>85</v>
      </c>
      <c r="G70" s="22">
        <v>47</v>
      </c>
      <c r="H70" s="22">
        <f>Table1[[#This Row],[UNIT COST]]*Table1[[#This Row],[QTY]]</f>
        <v>188</v>
      </c>
      <c r="I70" s="21">
        <v>73.709999999999994</v>
      </c>
      <c r="J70" s="22">
        <f>I70*Table1[[#This Row],[QTY]]</f>
        <v>294.83999999999997</v>
      </c>
    </row>
    <row r="71" spans="1:10" x14ac:dyDescent="0.25">
      <c r="A71" s="12">
        <v>66</v>
      </c>
      <c r="B71" s="9" t="s">
        <v>118</v>
      </c>
      <c r="C71" s="9"/>
      <c r="D71" s="10" t="s">
        <v>117</v>
      </c>
      <c r="E71" s="10">
        <v>12</v>
      </c>
      <c r="F71" s="11" t="s">
        <v>85</v>
      </c>
      <c r="G71" s="22">
        <v>54</v>
      </c>
      <c r="H71" s="22">
        <f>Table1[[#This Row],[UNIT COST]]*Table1[[#This Row],[QTY]]</f>
        <v>648</v>
      </c>
      <c r="I71" s="21">
        <v>86</v>
      </c>
      <c r="J71" s="22">
        <f>I71*Table1[[#This Row],[QTY]]</f>
        <v>1032</v>
      </c>
    </row>
    <row r="72" spans="1:10" x14ac:dyDescent="0.25">
      <c r="A72" s="12">
        <v>67</v>
      </c>
      <c r="B72" s="9" t="s">
        <v>119</v>
      </c>
      <c r="C72" s="9"/>
      <c r="D72" s="10" t="s">
        <v>120</v>
      </c>
      <c r="E72" s="10">
        <v>38</v>
      </c>
      <c r="F72" s="11" t="s">
        <v>85</v>
      </c>
      <c r="G72" s="22">
        <v>13</v>
      </c>
      <c r="H72" s="22">
        <f>Table1[[#This Row],[UNIT COST]]*Table1[[#This Row],[QTY]]</f>
        <v>494</v>
      </c>
      <c r="I72" s="21">
        <v>19.45</v>
      </c>
      <c r="J72" s="22">
        <f>I72*Table1[[#This Row],[QTY]]</f>
        <v>739.1</v>
      </c>
    </row>
    <row r="73" spans="1:10" x14ac:dyDescent="0.25">
      <c r="A73" s="12">
        <v>68</v>
      </c>
      <c r="B73" s="9" t="s">
        <v>121</v>
      </c>
      <c r="C73" s="9"/>
      <c r="D73" s="10" t="s">
        <v>122</v>
      </c>
      <c r="E73" s="10">
        <v>2</v>
      </c>
      <c r="F73" s="11" t="s">
        <v>85</v>
      </c>
      <c r="G73" s="22">
        <v>631</v>
      </c>
      <c r="H73" s="22">
        <f>Table1[[#This Row],[UNIT COST]]*Table1[[#This Row],[QTY]]</f>
        <v>1262</v>
      </c>
      <c r="I73" s="21">
        <v>1002.25</v>
      </c>
      <c r="J73" s="22">
        <f>I73*Table1[[#This Row],[QTY]]</f>
        <v>2004.5</v>
      </c>
    </row>
    <row r="74" spans="1:10" x14ac:dyDescent="0.25">
      <c r="A74" s="12">
        <v>69</v>
      </c>
      <c r="B74" s="9" t="s">
        <v>123</v>
      </c>
      <c r="C74" s="9"/>
      <c r="D74" s="10" t="s">
        <v>122</v>
      </c>
      <c r="E74" s="10">
        <v>2</v>
      </c>
      <c r="F74" s="11" t="s">
        <v>85</v>
      </c>
      <c r="G74" s="22">
        <v>338</v>
      </c>
      <c r="H74" s="22">
        <f>Table1[[#This Row],[UNIT COST]]*Table1[[#This Row],[QTY]]</f>
        <v>676</v>
      </c>
      <c r="I74" s="21">
        <v>537.47</v>
      </c>
      <c r="J74" s="22">
        <f>I74*Table1[[#This Row],[QTY]]</f>
        <v>1074.94</v>
      </c>
    </row>
    <row r="75" spans="1:10" x14ac:dyDescent="0.25">
      <c r="A75" s="12">
        <v>70</v>
      </c>
      <c r="B75" s="9" t="s">
        <v>124</v>
      </c>
      <c r="C75" s="9"/>
      <c r="D75" s="10" t="s">
        <v>125</v>
      </c>
      <c r="E75" s="10">
        <v>2</v>
      </c>
      <c r="F75" s="11" t="s">
        <v>85</v>
      </c>
      <c r="G75" s="22">
        <v>298</v>
      </c>
      <c r="H75" s="22">
        <f>Table1[[#This Row],[UNIT COST]]*Table1[[#This Row],[QTY]]</f>
        <v>596</v>
      </c>
      <c r="I75" s="21">
        <v>472.97</v>
      </c>
      <c r="J75" s="22">
        <f>I75*Table1[[#This Row],[QTY]]</f>
        <v>945.94</v>
      </c>
    </row>
    <row r="76" spans="1:10" x14ac:dyDescent="0.25">
      <c r="A76" s="12">
        <v>71</v>
      </c>
      <c r="B76" s="9" t="s">
        <v>126</v>
      </c>
      <c r="C76" s="9"/>
      <c r="D76" s="10" t="s">
        <v>105</v>
      </c>
      <c r="E76" s="10">
        <v>3</v>
      </c>
      <c r="F76" s="11" t="s">
        <v>85</v>
      </c>
      <c r="G76" s="22">
        <v>1569</v>
      </c>
      <c r="H76" s="22">
        <f>Table1[[#This Row],[UNIT COST]]*Table1[[#This Row],[QTY]]</f>
        <v>4707</v>
      </c>
      <c r="I76" s="21">
        <v>2306.5100000000002</v>
      </c>
      <c r="J76" s="22">
        <f>I76*Table1[[#This Row],[QTY]]</f>
        <v>6919.5300000000007</v>
      </c>
    </row>
    <row r="77" spans="1:10" x14ac:dyDescent="0.25">
      <c r="A77" s="12">
        <v>72</v>
      </c>
      <c r="B77" s="9" t="s">
        <v>127</v>
      </c>
      <c r="C77" s="9"/>
      <c r="D77" s="10" t="s">
        <v>128</v>
      </c>
      <c r="E77" s="10">
        <v>2</v>
      </c>
      <c r="F77" s="11" t="s">
        <v>85</v>
      </c>
      <c r="G77" s="22">
        <v>1960</v>
      </c>
      <c r="H77" s="22">
        <f>Table1[[#This Row],[UNIT COST]]*Table1[[#This Row],[QTY]]</f>
        <v>3920</v>
      </c>
      <c r="I77" s="21">
        <v>2881.86</v>
      </c>
      <c r="J77" s="22">
        <f>I77*Table1[[#This Row],[QTY]]</f>
        <v>5763.72</v>
      </c>
    </row>
    <row r="78" spans="1:10" x14ac:dyDescent="0.25">
      <c r="A78" s="12">
        <v>73</v>
      </c>
      <c r="B78" s="9" t="s">
        <v>129</v>
      </c>
      <c r="C78" s="9"/>
      <c r="D78" s="10" t="s">
        <v>111</v>
      </c>
      <c r="E78" s="10">
        <v>2</v>
      </c>
      <c r="F78" s="11" t="s">
        <v>85</v>
      </c>
      <c r="G78" s="22">
        <v>171</v>
      </c>
      <c r="H78" s="22">
        <f>Table1[[#This Row],[UNIT COST]]*Table1[[#This Row],[QTY]]</f>
        <v>342</v>
      </c>
      <c r="I78" s="21">
        <v>251.84</v>
      </c>
      <c r="J78" s="22">
        <f>I78*Table1[[#This Row],[QTY]]</f>
        <v>503.68</v>
      </c>
    </row>
    <row r="79" spans="1:10" x14ac:dyDescent="0.25">
      <c r="A79" s="12">
        <v>74</v>
      </c>
      <c r="B79" s="9" t="s">
        <v>130</v>
      </c>
      <c r="C79" s="9"/>
      <c r="D79" s="10" t="s">
        <v>131</v>
      </c>
      <c r="E79" s="10">
        <v>1</v>
      </c>
      <c r="F79" s="11" t="s">
        <v>85</v>
      </c>
      <c r="G79" s="22">
        <v>3992</v>
      </c>
      <c r="H79" s="22">
        <f>Table1[[#This Row],[UNIT COST]]*Table1[[#This Row],[QTY]]</f>
        <v>3992</v>
      </c>
      <c r="I79" s="21">
        <v>5915.23</v>
      </c>
      <c r="J79" s="22">
        <f>I79*Table1[[#This Row],[QTY]]</f>
        <v>5915.23</v>
      </c>
    </row>
    <row r="80" spans="1:10" x14ac:dyDescent="0.25">
      <c r="A80" s="12">
        <v>75</v>
      </c>
      <c r="B80" s="9" t="s">
        <v>132</v>
      </c>
      <c r="C80" s="9"/>
      <c r="D80" s="10" t="s">
        <v>111</v>
      </c>
      <c r="E80" s="10">
        <v>1</v>
      </c>
      <c r="F80" s="11" t="s">
        <v>85</v>
      </c>
      <c r="G80" s="22">
        <v>315</v>
      </c>
      <c r="H80" s="22">
        <f>Table1[[#This Row],[UNIT COST]]*Table1[[#This Row],[QTY]]</f>
        <v>315</v>
      </c>
      <c r="I80" s="21">
        <v>463.76</v>
      </c>
      <c r="J80" s="22">
        <f>I80*Table1[[#This Row],[QTY]]</f>
        <v>463.76</v>
      </c>
    </row>
    <row r="81" spans="1:10" x14ac:dyDescent="0.25">
      <c r="A81" s="12">
        <v>76</v>
      </c>
      <c r="B81" s="9" t="s">
        <v>146</v>
      </c>
      <c r="C81" s="9"/>
      <c r="D81" s="10" t="s">
        <v>133</v>
      </c>
      <c r="E81" s="10">
        <v>1</v>
      </c>
      <c r="F81" s="11" t="s">
        <v>85</v>
      </c>
      <c r="G81" s="22">
        <v>955</v>
      </c>
      <c r="H81" s="22">
        <f>Table1[[#This Row],[UNIT COST]]*Table1[[#This Row],[QTY]]</f>
        <v>955</v>
      </c>
      <c r="I81" s="21">
        <v>1405.61</v>
      </c>
      <c r="J81" s="22">
        <f>I81*Table1[[#This Row],[QTY]]</f>
        <v>1405.61</v>
      </c>
    </row>
    <row r="82" spans="1:10" x14ac:dyDescent="0.25">
      <c r="A82" s="12">
        <v>77</v>
      </c>
      <c r="B82" s="9" t="s">
        <v>147</v>
      </c>
      <c r="C82" s="9"/>
      <c r="D82" s="10" t="s">
        <v>134</v>
      </c>
      <c r="E82" s="10">
        <v>1</v>
      </c>
      <c r="F82" s="11" t="s">
        <v>85</v>
      </c>
      <c r="G82" s="22">
        <v>836</v>
      </c>
      <c r="H82" s="22">
        <f>Table1[[#This Row],[UNIT COST]]*Table1[[#This Row],[QTY]]</f>
        <v>836</v>
      </c>
      <c r="I82" s="21">
        <v>1212.1199999999999</v>
      </c>
      <c r="J82" s="22">
        <f>I82*Table1[[#This Row],[QTY]]</f>
        <v>1212.1199999999999</v>
      </c>
    </row>
    <row r="83" spans="1:10" x14ac:dyDescent="0.25">
      <c r="A83" s="12">
        <v>78</v>
      </c>
      <c r="B83" s="9" t="s">
        <v>148</v>
      </c>
      <c r="C83" s="9"/>
      <c r="D83" s="10" t="s">
        <v>135</v>
      </c>
      <c r="E83" s="10">
        <v>1</v>
      </c>
      <c r="F83" s="11" t="s">
        <v>85</v>
      </c>
      <c r="G83" s="22">
        <v>1971</v>
      </c>
      <c r="H83" s="22">
        <f>Table1[[#This Row],[UNIT COST]]*Table1[[#This Row],[QTY]]</f>
        <v>1971</v>
      </c>
      <c r="I83" s="21">
        <v>2899.26</v>
      </c>
      <c r="J83" s="22">
        <f>I83*Table1[[#This Row],[QTY]]</f>
        <v>2899.26</v>
      </c>
    </row>
    <row r="84" spans="1:10" x14ac:dyDescent="0.25">
      <c r="A84" s="12">
        <v>79</v>
      </c>
      <c r="B84" s="9" t="s">
        <v>149</v>
      </c>
      <c r="C84" s="9"/>
      <c r="D84" s="10" t="s">
        <v>135</v>
      </c>
      <c r="E84" s="10">
        <v>1</v>
      </c>
      <c r="F84" s="11" t="s">
        <v>85</v>
      </c>
      <c r="G84" s="22">
        <v>2507</v>
      </c>
      <c r="H84" s="22">
        <f>Table1[[#This Row],[UNIT COST]]*Table1[[#This Row],[QTY]]</f>
        <v>2507</v>
      </c>
      <c r="I84" s="21">
        <v>3687.55</v>
      </c>
      <c r="J84" s="22">
        <f>I84*Table1[[#This Row],[QTY]]</f>
        <v>3687.55</v>
      </c>
    </row>
    <row r="85" spans="1:10" x14ac:dyDescent="0.25">
      <c r="A85" s="12">
        <v>80</v>
      </c>
      <c r="B85" s="9" t="s">
        <v>150</v>
      </c>
      <c r="C85" s="9"/>
      <c r="D85" s="10" t="s">
        <v>136</v>
      </c>
      <c r="E85" s="10">
        <v>2</v>
      </c>
      <c r="F85" s="11" t="s">
        <v>85</v>
      </c>
      <c r="G85" s="22">
        <v>262</v>
      </c>
      <c r="H85" s="22">
        <f>Table1[[#This Row],[UNIT COST]]*Table1[[#This Row],[QTY]]</f>
        <v>524</v>
      </c>
      <c r="I85" s="21">
        <v>385.95</v>
      </c>
      <c r="J85" s="22">
        <f>I85*Table1[[#This Row],[QTY]]</f>
        <v>771.9</v>
      </c>
    </row>
    <row r="86" spans="1:10" x14ac:dyDescent="0.25">
      <c r="A86" s="12">
        <v>81</v>
      </c>
      <c r="B86" s="9" t="s">
        <v>151</v>
      </c>
      <c r="C86" s="9"/>
      <c r="D86" s="10" t="s">
        <v>102</v>
      </c>
      <c r="E86" s="10">
        <v>1</v>
      </c>
      <c r="F86" s="11" t="s">
        <v>85</v>
      </c>
      <c r="G86" s="22">
        <v>1273</v>
      </c>
      <c r="H86" s="22">
        <f>Table1[[#This Row],[UNIT COST]]*Table1[[#This Row],[QTY]]</f>
        <v>1273</v>
      </c>
      <c r="I86" s="21">
        <v>1872.44</v>
      </c>
      <c r="J86" s="22">
        <f>I86*Table1[[#This Row],[QTY]]</f>
        <v>1872.44</v>
      </c>
    </row>
    <row r="87" spans="1:10" x14ac:dyDescent="0.25">
      <c r="A87" s="12">
        <v>82</v>
      </c>
      <c r="B87" s="9" t="s">
        <v>152</v>
      </c>
      <c r="C87" s="9"/>
      <c r="D87" s="10" t="s">
        <v>137</v>
      </c>
      <c r="E87" s="10">
        <v>1</v>
      </c>
      <c r="F87" s="11" t="s">
        <v>85</v>
      </c>
      <c r="G87" s="22">
        <v>6473</v>
      </c>
      <c r="H87" s="22">
        <f>Table1[[#This Row],[UNIT COST]]*Table1[[#This Row],[QTY]]</f>
        <v>6473</v>
      </c>
      <c r="I87" s="21">
        <v>10286.64</v>
      </c>
      <c r="J87" s="22">
        <f>I87*Table1[[#This Row],[QTY]]</f>
        <v>10286.64</v>
      </c>
    </row>
    <row r="88" spans="1:10" x14ac:dyDescent="0.25">
      <c r="A88" s="12">
        <v>83</v>
      </c>
      <c r="B88" s="9" t="s">
        <v>153</v>
      </c>
      <c r="C88" s="9"/>
      <c r="D88" s="10" t="s">
        <v>137</v>
      </c>
      <c r="E88" s="10">
        <v>1</v>
      </c>
      <c r="F88" s="11" t="s">
        <v>85</v>
      </c>
      <c r="G88" s="22">
        <v>8642</v>
      </c>
      <c r="H88" s="22">
        <f>Table1[[#This Row],[UNIT COST]]*Table1[[#This Row],[QTY]]</f>
        <v>8642</v>
      </c>
      <c r="I88" s="21">
        <v>12431.4</v>
      </c>
      <c r="J88" s="22">
        <f>I88*Table1[[#This Row],[QTY]]</f>
        <v>12431.4</v>
      </c>
    </row>
    <row r="89" spans="1:10" x14ac:dyDescent="0.25">
      <c r="A89" s="12">
        <v>84</v>
      </c>
      <c r="B89" s="9" t="s">
        <v>154</v>
      </c>
      <c r="C89" s="9"/>
      <c r="D89" s="10" t="s">
        <v>138</v>
      </c>
      <c r="E89" s="10">
        <v>12</v>
      </c>
      <c r="F89" s="11" t="s">
        <v>85</v>
      </c>
      <c r="G89" s="22">
        <v>909</v>
      </c>
      <c r="H89" s="22">
        <f>Table1[[#This Row],[UNIT COST]]*Table1[[#This Row],[QTY]]</f>
        <v>10908</v>
      </c>
      <c r="I89" s="21">
        <v>1337.02</v>
      </c>
      <c r="J89" s="22">
        <f>I89*Table1[[#This Row],[QTY]]</f>
        <v>16044.24</v>
      </c>
    </row>
    <row r="90" spans="1:10" ht="15.75" thickBot="1" x14ac:dyDescent="0.3">
      <c r="A90" s="12">
        <v>85</v>
      </c>
      <c r="B90" s="9" t="s">
        <v>155</v>
      </c>
      <c r="C90" s="9"/>
      <c r="D90" s="10" t="s">
        <v>139</v>
      </c>
      <c r="E90" s="10">
        <v>8</v>
      </c>
      <c r="F90" s="11" t="s">
        <v>85</v>
      </c>
      <c r="G90" s="22">
        <v>12710</v>
      </c>
      <c r="H90" s="22">
        <f>Table1[[#This Row],[UNIT COST]]*Table1[[#This Row],[QTY]]</f>
        <v>101680</v>
      </c>
      <c r="I90" s="21">
        <v>17315.71</v>
      </c>
      <c r="J90" s="24">
        <f>I90*Table1[[#This Row],[QTY]]</f>
        <v>138525.68</v>
      </c>
    </row>
    <row r="91" spans="1:10" ht="15.75" thickBot="1" x14ac:dyDescent="0.3">
      <c r="B91" s="9"/>
      <c r="C91" s="9"/>
      <c r="D91" s="10"/>
      <c r="E91" s="10"/>
      <c r="F91" s="10"/>
      <c r="G91" s="24"/>
      <c r="H91" s="26">
        <f>SUBTOTAL(109,Table1[EXTN COST])</f>
        <v>1527564</v>
      </c>
      <c r="J91" s="25">
        <f>SUM(J6:J90)</f>
        <v>2223420.4499999988</v>
      </c>
    </row>
    <row r="92" spans="1:10" x14ac:dyDescent="0.25">
      <c r="G92" s="7"/>
      <c r="H92" s="7"/>
    </row>
  </sheetData>
  <mergeCells count="4">
    <mergeCell ref="A1:F1"/>
    <mergeCell ref="A2:F2"/>
    <mergeCell ref="A3:F3"/>
    <mergeCell ref="A4:F4"/>
  </mergeCells>
  <conditionalFormatting sqref="B6:B90">
    <cfRule type="duplicateValues" dxfId="8" priority="1"/>
  </conditionalFormatting>
  <conditionalFormatting sqref="B6:C90">
    <cfRule type="duplicateValues" dxfId="7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2020-03-02T06:08:10Z</dcterms:modified>
</cp:coreProperties>
</file>