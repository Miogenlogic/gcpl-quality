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Bima Developer  Parts List\"/>
    </mc:Choice>
  </mc:AlternateContent>
  <xr:revisionPtr revIDLastSave="0" documentId="13_ncr:1_{6E71FD2C-E6E2-452A-A7B3-F3277DE51734}" xr6:coauthVersionLast="45" xr6:coauthVersionMax="45" xr10:uidLastSave="{00000000-0000-0000-0000-000000000000}"/>
  <bookViews>
    <workbookView xWindow="-120" yWindow="-120" windowWidth="20640" windowHeight="11160" xr2:uid="{00000000-000D-0000-FFFF-FFFF00000000}"/>
  </bookViews>
  <sheets>
    <sheet name="Sheet1" sheetId="2" r:id="rId1"/>
  </sheets>
  <definedNames>
    <definedName name="_xlnm._FilterDatabase" localSheetId="0" hidden="1">Sheet1!$A$4:$J$166</definedName>
  </definedNames>
  <calcPr calcId="181029"/>
</workbook>
</file>

<file path=xl/calcChain.xml><?xml version="1.0" encoding="utf-8"?>
<calcChain xmlns="http://schemas.openxmlformats.org/spreadsheetml/2006/main">
  <c r="I157" i="2" l="1"/>
  <c r="I158" i="2"/>
  <c r="I156" i="2"/>
  <c r="I166" i="2" l="1"/>
</calcChain>
</file>

<file path=xl/sharedStrings.xml><?xml version="1.0" encoding="utf-8"?>
<sst xmlns="http://schemas.openxmlformats.org/spreadsheetml/2006/main" count="970" uniqueCount="547">
  <si>
    <t>AIR COMPRESSOR GP</t>
  </si>
  <si>
    <t>109-1317</t>
  </si>
  <si>
    <t>KIT-CRANKSHAFT BEARING (AIR COMPRESSOR)</t>
  </si>
  <si>
    <t>KIT-STANDARD RING (AIR COMPRESSOR)</t>
  </si>
  <si>
    <t>KIT-CYLINDER HEAD (AIR COMPRESSOR)</t>
  </si>
  <si>
    <t>GASKET (AIR INLET)</t>
  </si>
  <si>
    <t>CAMSHAFT GP</t>
  </si>
  <si>
    <t>1N-4406</t>
  </si>
  <si>
    <t>LOCK</t>
  </si>
  <si>
    <t>COVER GP-CYLINDER BLOCK</t>
  </si>
  <si>
    <t>8N-3163</t>
  </si>
  <si>
    <t>PLUG-CUP</t>
  </si>
  <si>
    <t>CRANKSHAFT GP</t>
  </si>
  <si>
    <t>4P-9856</t>
  </si>
  <si>
    <t>PLATE-THRUST</t>
  </si>
  <si>
    <t>PLUG-PIPE</t>
  </si>
  <si>
    <t>CYLINDER BLOCK GP</t>
  </si>
  <si>
    <t>8N-5286</t>
  </si>
  <si>
    <t>BUSHING</t>
  </si>
  <si>
    <t>CYLINDER HEAD GP</t>
  </si>
  <si>
    <t>7N-8876</t>
  </si>
  <si>
    <t>SHIELD-OIL</t>
  </si>
  <si>
    <t>LOCK-RETAINER</t>
  </si>
  <si>
    <t>VALVE-INLET</t>
  </si>
  <si>
    <t>VALVE-EXHAUST</t>
  </si>
  <si>
    <t>GUIDE-VALVE (STANDARD)</t>
  </si>
  <si>
    <t>DRIVE GP-FAN</t>
  </si>
  <si>
    <t>7C-8365</t>
  </si>
  <si>
    <t>CAP-DUST</t>
  </si>
  <si>
    <t>SEAL-LIP TYPE</t>
  </si>
  <si>
    <t>GEAR GP-FRONT -TIMING</t>
  </si>
  <si>
    <t>111-8001</t>
  </si>
  <si>
    <t>LINES GP-AIR COMPRESSOR</t>
  </si>
  <si>
    <t>135-5094</t>
  </si>
  <si>
    <t>HOSE AS</t>
  </si>
  <si>
    <t>PISTON &amp; ROD GP</t>
  </si>
  <si>
    <t>1W-6588</t>
  </si>
  <si>
    <t>RING-PISTON (TOP)</t>
  </si>
  <si>
    <t>RING-PISTON (INTERMEDIATE)</t>
  </si>
  <si>
    <t>RING-PISTON (OIL)(4MM THICK)</t>
  </si>
  <si>
    <t>RETAINER-PIN</t>
  </si>
  <si>
    <t>BEARING-CONNECTING ROD</t>
  </si>
  <si>
    <t>BOLT-CONNECTING ROD</t>
  </si>
  <si>
    <t>NUT (1/2-20-THD)</t>
  </si>
  <si>
    <t>BEARING-CONNECTING ROD (STANDARD)</t>
  </si>
  <si>
    <t>SEAL GP-CRANKSHAFT</t>
  </si>
  <si>
    <t>2P-6224</t>
  </si>
  <si>
    <t>SEAL GP-CRANKSHAFT (CLOCKWISE ROTATION)</t>
  </si>
  <si>
    <t>VALVE MECHANISM GP</t>
  </si>
  <si>
    <t>7C-7013</t>
  </si>
  <si>
    <t>WASHER (31.75X19.05X0.08-MM THK)</t>
  </si>
  <si>
    <t>NUT-FULL (3/8-24-THD)</t>
  </si>
  <si>
    <t>SCREW</t>
  </si>
  <si>
    <t>WASHER-SPRING</t>
  </si>
  <si>
    <t>RING-RETAINING</t>
  </si>
  <si>
    <t>BASE GP-OIL FILTER -ENGINE</t>
  </si>
  <si>
    <t>4P-7096</t>
  </si>
  <si>
    <t>SPRING</t>
  </si>
  <si>
    <t>PLUNGER (RELIEF VALVE)</t>
  </si>
  <si>
    <t>VALVE-SAMPLING (ENGINE OIL)</t>
  </si>
  <si>
    <t>BREATHER GP -CRANKCASE</t>
  </si>
  <si>
    <t>1P-4244</t>
  </si>
  <si>
    <t>BREATHER AS (CRANKCASE)</t>
  </si>
  <si>
    <t>WASHER-HARD (8.8X25.5X2-MM THK)</t>
  </si>
  <si>
    <t>FILTER GP-ENGINE OIL</t>
  </si>
  <si>
    <t>147-3091</t>
  </si>
  <si>
    <t>FILTER AS-ENGINE OIL (ADVANCED EFFICIENCY)</t>
  </si>
  <si>
    <t>SEAL-O-RING</t>
  </si>
  <si>
    <t>FUMES DISPOSAL GP</t>
  </si>
  <si>
    <t>136-3171</t>
  </si>
  <si>
    <t>HOSE-DISPOSAL</t>
  </si>
  <si>
    <t>LINES GP-ENGINE OIL</t>
  </si>
  <si>
    <t>2P-6105</t>
  </si>
  <si>
    <t>PUMP GP-ENGINE OIL</t>
  </si>
  <si>
    <t>6I-1346</t>
  </si>
  <si>
    <t>VALVE AS-RELIEF (ENGINE OIL PRESSURE)</t>
  </si>
  <si>
    <t>LINES GP-WATER</t>
  </si>
  <si>
    <t>2W-7060</t>
  </si>
  <si>
    <t>HOSE</t>
  </si>
  <si>
    <t>PUMP GP-WATER</t>
  </si>
  <si>
    <t>172-7762</t>
  </si>
  <si>
    <t>SEAL GP</t>
  </si>
  <si>
    <t>BOLT-12 POINT HEAD (7/16-14X1.5-IN)</t>
  </si>
  <si>
    <t>BALL BEARING</t>
  </si>
  <si>
    <t>GASKET</t>
  </si>
  <si>
    <t>REGULATOR GP-TEMPERATURE</t>
  </si>
  <si>
    <t>151-0996</t>
  </si>
  <si>
    <t>REGULATOR-WATER TEMPERATURE (97-DEG C)</t>
  </si>
  <si>
    <t>VALVE AS-VENT (WATER TEMPERATURE REGULATOR)</t>
  </si>
  <si>
    <t>FASTENER GP-EXHAUST MANIFOLD</t>
  </si>
  <si>
    <t>7E-5682</t>
  </si>
  <si>
    <t>LOCKNUT (3/8-16-THD)</t>
  </si>
  <si>
    <t>WASHER (10.2X28.5X5-MM THK)</t>
  </si>
  <si>
    <t>STUD-TAPERLOCK (3/8-16X2.75-IN, HIGH TEMP)</t>
  </si>
  <si>
    <t>STUD-TAPERLOCK (3/8-16X3.54-IN)</t>
  </si>
  <si>
    <t>STUD-TAPERLOCK (3/8-16X2.36-IN)</t>
  </si>
  <si>
    <t>LINES GP-AIR</t>
  </si>
  <si>
    <t>110-0020</t>
  </si>
  <si>
    <t>HOSE-AIR</t>
  </si>
  <si>
    <t>7C-2094</t>
  </si>
  <si>
    <t>RING-METAL SEAL</t>
  </si>
  <si>
    <t>FILTER GP-SECONDARY FUEL</t>
  </si>
  <si>
    <t>2W-3282</t>
  </si>
  <si>
    <t>FILTER-FUEL (ADVANCED EFFICIENCY)</t>
  </si>
  <si>
    <t>LINES GP-FUEL INJECTION</t>
  </si>
  <si>
    <t>113-5341</t>
  </si>
  <si>
    <t>SEAL-CARBON STOP</t>
  </si>
  <si>
    <t>WASHER (9.76X17.14X1.8-MM THK)</t>
  </si>
  <si>
    <t>SEAL-WASHER</t>
  </si>
  <si>
    <t>PARTNO</t>
  </si>
  <si>
    <t>PARTNAME</t>
  </si>
  <si>
    <t>QUANTITY</t>
  </si>
  <si>
    <t>GROUPNO</t>
  </si>
  <si>
    <t>GROUPNAME</t>
  </si>
  <si>
    <t xml:space="preserve">SL NO </t>
  </si>
  <si>
    <t xml:space="preserve">REMARKS  </t>
  </si>
  <si>
    <t>SINGLE CYLINDER LINER SEAL KIT</t>
  </si>
  <si>
    <t>KIT GASKET</t>
  </si>
  <si>
    <t>SINGLE CYLINDER HEAD</t>
  </si>
  <si>
    <t>REAR STRUCTURE</t>
  </si>
  <si>
    <t>OIL COOLER  LINES</t>
  </si>
  <si>
    <t>FRONT STRUCTURE</t>
  </si>
  <si>
    <t>CENTRAL  LOWER</t>
  </si>
  <si>
    <t>IML-3E9840A</t>
  </si>
  <si>
    <t>ENGINE OIL</t>
  </si>
  <si>
    <t>TESTING</t>
  </si>
  <si>
    <t>KIT OIL SAMPLING</t>
  </si>
  <si>
    <t>MANDATORY</t>
  </si>
  <si>
    <t>CONNECTOR</t>
  </si>
  <si>
    <t>112-5955</t>
  </si>
  <si>
    <t>WIRING GP ENGINE</t>
  </si>
  <si>
    <t>GOVERNOR AS-AIR COMPRESSOR</t>
  </si>
  <si>
    <t>144-0744</t>
  </si>
  <si>
    <t>VALVE (PRESSURE RELIEF)</t>
  </si>
  <si>
    <t>DAMAGE</t>
  </si>
  <si>
    <t>CAT-1646560</t>
  </si>
  <si>
    <t>CAT-1003652</t>
  </si>
  <si>
    <t>CAT-1061793</t>
  </si>
  <si>
    <t>CAT-1950302</t>
  </si>
  <si>
    <t>CAT-1969988</t>
  </si>
  <si>
    <t>CAT-3918256</t>
  </si>
  <si>
    <t>CAT-3927187</t>
  </si>
  <si>
    <t>CAT-4608223</t>
  </si>
  <si>
    <t>CAT-4608225</t>
  </si>
  <si>
    <t>CAT-1467639</t>
  </si>
  <si>
    <t>CAT-2712489</t>
  </si>
  <si>
    <t>CAT-1316645</t>
  </si>
  <si>
    <t>CAT-1698373</t>
  </si>
  <si>
    <t>CAT-3285572</t>
  </si>
  <si>
    <t>CAT-1544482</t>
  </si>
  <si>
    <t>CAT-1691750</t>
  </si>
  <si>
    <t>CAT-1720038</t>
  </si>
  <si>
    <t>CAT-1167577</t>
  </si>
  <si>
    <t>CAT-1007860</t>
  </si>
  <si>
    <t>CAT-1487425</t>
  </si>
  <si>
    <t>CAT-1487455</t>
  </si>
  <si>
    <t>CAT- 7E8923</t>
  </si>
  <si>
    <t>CAT- 7E8925</t>
  </si>
  <si>
    <t>CAT- 7E8926</t>
  </si>
  <si>
    <t>CAT- 8M7065</t>
  </si>
  <si>
    <t>CAT- 1P1367</t>
  </si>
  <si>
    <t>CAT- 8C3445</t>
  </si>
  <si>
    <t>CAT- 8C3446</t>
  </si>
  <si>
    <t>CAT- 8M3182</t>
  </si>
  <si>
    <t>CAT- 2W9162</t>
  </si>
  <si>
    <t>CAT- 9N0869</t>
  </si>
  <si>
    <t>CAT- 8S1491</t>
  </si>
  <si>
    <t>CAT- 4B3938</t>
  </si>
  <si>
    <t>CAT- 8T6757</t>
  </si>
  <si>
    <t>CAT- 7M4046</t>
  </si>
  <si>
    <t>CAT- 8N4110</t>
  </si>
  <si>
    <t>CAT- 2A4429</t>
  </si>
  <si>
    <t>CAT- 6N7174</t>
  </si>
  <si>
    <t>CAT- 7C8370</t>
  </si>
  <si>
    <t>CAT- 2N2766</t>
  </si>
  <si>
    <t>CAT- 6V1426</t>
  </si>
  <si>
    <t>CAT- 6V1427</t>
  </si>
  <si>
    <t>CAT- 8M7145</t>
  </si>
  <si>
    <t>CAT- 1R1807</t>
  </si>
  <si>
    <t>CAT- 3D2824</t>
  </si>
  <si>
    <t>CAT- 1R0750</t>
  </si>
  <si>
    <t>CAT- 7E6701</t>
  </si>
  <si>
    <t>CAT- 5P8768</t>
  </si>
  <si>
    <t>CAT- 6V5976</t>
  </si>
  <si>
    <t>CAT- 4N9216</t>
  </si>
  <si>
    <t>CAT- 6N0009</t>
  </si>
  <si>
    <t>CAT- 6N0992</t>
  </si>
  <si>
    <t>CAT- 4P5970</t>
  </si>
  <si>
    <t>CAT- 6I1240</t>
  </si>
  <si>
    <t>CAT- 9L5810</t>
  </si>
  <si>
    <t>CAT- 9N3040</t>
  </si>
  <si>
    <t>CAT- 0L0364</t>
  </si>
  <si>
    <t>CAT- 5P6718</t>
  </si>
  <si>
    <t>CAT- 7W4486</t>
  </si>
  <si>
    <t>CAT- 9L9098</t>
  </si>
  <si>
    <t>CAT- 1P9956</t>
  </si>
  <si>
    <t>CAT- 1S9543</t>
  </si>
  <si>
    <t>CAT- 5S6348</t>
  </si>
  <si>
    <t>CAT- 5S6750</t>
  </si>
  <si>
    <t>CAT- 6I0497</t>
  </si>
  <si>
    <t>CAT- 8N1849</t>
  </si>
  <si>
    <t>CAT- 9S3029</t>
  </si>
  <si>
    <t>CAT- 4P3546</t>
  </si>
  <si>
    <t>CAT- 8S6511</t>
  </si>
  <si>
    <t>CAT- 1K6985</t>
  </si>
  <si>
    <t>CAT- 6H3957</t>
  </si>
  <si>
    <t>CAT- 6K3771</t>
  </si>
  <si>
    <t>CAT- 8N4485</t>
  </si>
  <si>
    <t>CAT- 9Y9895</t>
  </si>
  <si>
    <t>CAT- 3S2713</t>
  </si>
  <si>
    <t>CAT- 5S5917</t>
  </si>
  <si>
    <t>CAT- 7N0550</t>
  </si>
  <si>
    <t>CAT- 9H1113</t>
  </si>
  <si>
    <t>CAT- 9M9886</t>
  </si>
  <si>
    <t>CAT- 3B8822</t>
  </si>
  <si>
    <t>BOLT (3/8-16X1.125-IN)</t>
  </si>
  <si>
    <t>2P-6855</t>
  </si>
  <si>
    <t>FILLER GP-ENGINE OIL</t>
  </si>
  <si>
    <t>RIVET-POP</t>
  </si>
  <si>
    <t>CAP-FILLER (ENGINE OIL)</t>
  </si>
  <si>
    <t>PIPE-OIL FILLER</t>
  </si>
  <si>
    <t>WASHER (5.5X12.3X0.8-MM THK)</t>
  </si>
  <si>
    <t>WASHER-HARD (10.2X18.5X2.5-MM THK)</t>
  </si>
  <si>
    <t>BOLT (5/16-18X0.75-IN)</t>
  </si>
  <si>
    <t>8N-4745</t>
  </si>
  <si>
    <t>COVER GP-VALVE MECHANISM</t>
  </si>
  <si>
    <t>WASHER-HARD (8.8X16X2-MM THK)</t>
  </si>
  <si>
    <t>CLAMP-HOSE</t>
  </si>
  <si>
    <t>CLIP (LOOP)</t>
  </si>
  <si>
    <t>BOLT (3/8-16X2.5-IN)</t>
  </si>
  <si>
    <t>WASHER-HARD (10.2X22.5X3-MM THK)</t>
  </si>
  <si>
    <t>CAT-1470383</t>
  </si>
  <si>
    <t>CAT-1470384</t>
  </si>
  <si>
    <t>TUBE AS-AIR VENT</t>
  </si>
  <si>
    <t>2P-6493</t>
  </si>
  <si>
    <t>GAUGE GP-OIL LEVEL (DIPSTICK) -ENGINE</t>
  </si>
  <si>
    <t>CAT-1358287</t>
  </si>
  <si>
    <t>147-2071</t>
  </si>
  <si>
    <t>LINES GP-TURBOCHARGER OIL</t>
  </si>
  <si>
    <t>219-1909</t>
  </si>
  <si>
    <t>106-8958</t>
  </si>
  <si>
    <t>GEAR-OIL DRIVE (33 TEETH)</t>
  </si>
  <si>
    <t>BOLT (3/8-16X2-IN)</t>
  </si>
  <si>
    <t>WASHER-HARD (10.2X35X6-MM THK)</t>
  </si>
  <si>
    <t>BOLT (3/8-16X1.375-IN)</t>
  </si>
  <si>
    <t>106-8957</t>
  </si>
  <si>
    <t>BOLT (3/8-16X3-IN)</t>
  </si>
  <si>
    <t>CLAMP-NOZZLE</t>
  </si>
  <si>
    <t>BOLT (3/8-16X1-IN)</t>
  </si>
  <si>
    <t>BOLT (3/8-16X0.625-IN)</t>
  </si>
  <si>
    <t>BELL AS-SUCTION (ENGINE OIL)</t>
  </si>
  <si>
    <t>LOCKNUT</t>
  </si>
  <si>
    <t>BODY AS-PISTON (REQUIRES 4MM THICK OIL RING)</t>
  </si>
  <si>
    <t>CRANKSHAFT AS</t>
  </si>
  <si>
    <t>ROD AS-CONNECTING</t>
  </si>
  <si>
    <t>BEARING MAIN(0.51 MM OS)</t>
  </si>
  <si>
    <t>CAP CRANKSHAFT</t>
  </si>
  <si>
    <t>7N-6550</t>
  </si>
  <si>
    <t>PART LIST OF 3306 BIMA DEVELOPERS</t>
  </si>
  <si>
    <t>JOB NO: 5500006429</t>
  </si>
  <si>
    <t>CAT-1070268</t>
  </si>
  <si>
    <t>INSERT INLET</t>
  </si>
  <si>
    <t>CAT-1070265</t>
  </si>
  <si>
    <t>INSERT EXHAUST</t>
  </si>
  <si>
    <t>CAT-1705187</t>
  </si>
  <si>
    <t>NOZZLE</t>
  </si>
  <si>
    <t>LINES GP FUEL INJECTION</t>
  </si>
  <si>
    <t>CAT-1135336</t>
  </si>
  <si>
    <t>ADAPTER DRAIN</t>
  </si>
  <si>
    <t>2P-9647</t>
  </si>
  <si>
    <t>PAN GP OIL</t>
  </si>
  <si>
    <t>PLUG CUP</t>
  </si>
  <si>
    <t>CYLINDER GP</t>
  </si>
  <si>
    <t>DIAPHRAGM</t>
  </si>
  <si>
    <t>111-5162</t>
  </si>
  <si>
    <t>CONTROL GP-FUEL RATIO</t>
  </si>
  <si>
    <t>SEAL</t>
  </si>
  <si>
    <t>VALVE</t>
  </si>
  <si>
    <t>SPRING-LINK</t>
  </si>
  <si>
    <t>2W-6559</t>
  </si>
  <si>
    <t>GOVERNOR GP</t>
  </si>
  <si>
    <t>VALVE-GOVERNOR SERVO</t>
  </si>
  <si>
    <t>PISTON-GOVERNOR SERVO</t>
  </si>
  <si>
    <t>SLEEVE</t>
  </si>
  <si>
    <t>RING-LOCK</t>
  </si>
  <si>
    <t>RACE-THRUST BEARING</t>
  </si>
  <si>
    <t>BEARING-THRUST</t>
  </si>
  <si>
    <t>SPRING-BUMPER</t>
  </si>
  <si>
    <t>VALVE AS (FUEL CHECK)</t>
  </si>
  <si>
    <t>ACTUATOR AS-GOVERNOR</t>
  </si>
  <si>
    <t>SHAFT</t>
  </si>
  <si>
    <t>FUEL SYS KIT</t>
  </si>
  <si>
    <t xml:space="preserve">KIT GASKET </t>
  </si>
  <si>
    <t xml:space="preserve">PISTON </t>
  </si>
  <si>
    <t>1W1695</t>
  </si>
  <si>
    <t>TRANSFER PUMP</t>
  </si>
  <si>
    <t>RING-SEAL</t>
  </si>
  <si>
    <t>CARTRIDGE GP-TURBOCHARGER</t>
  </si>
  <si>
    <t>INSERT</t>
  </si>
  <si>
    <t>CAT-2191937</t>
  </si>
  <si>
    <t>PISTON-SEAL</t>
  </si>
  <si>
    <t>SLEEVE-FLINGER</t>
  </si>
  <si>
    <t>RING-THRUST</t>
  </si>
  <si>
    <t>BEARING</t>
  </si>
  <si>
    <t>SL NO: 10Z47514    M/C SL NO:XZH00471    ARR NO: 266-9815</t>
  </si>
  <si>
    <t>SHIELD HEAT</t>
  </si>
  <si>
    <t>SPACER</t>
  </si>
  <si>
    <t>CAT-0619458</t>
  </si>
  <si>
    <t>CAT- 0S1590</t>
  </si>
  <si>
    <t>CAT- 0S1594</t>
  </si>
  <si>
    <t>CAT- 0S1617</t>
  </si>
  <si>
    <t>CAT- 0S1619</t>
  </si>
  <si>
    <t>CAT- 0T0102</t>
  </si>
  <si>
    <t>CAT- 1A2029</t>
  </si>
  <si>
    <t>CAT- 1M7643</t>
  </si>
  <si>
    <t>CAT- 1P7346</t>
  </si>
  <si>
    <t>CAT- 1T0416</t>
  </si>
  <si>
    <t>CAT- 1W1669</t>
  </si>
  <si>
    <t>CAT- 1W4098</t>
  </si>
  <si>
    <t>CAT- 1W4243</t>
  </si>
  <si>
    <t>CAT- 2A3211</t>
  </si>
  <si>
    <t>CAT- 2P2697</t>
  </si>
  <si>
    <t>CAT- 2P2719</t>
  </si>
  <si>
    <t>CAT- 2W2216</t>
  </si>
  <si>
    <t>CAT- 2W7400</t>
  </si>
  <si>
    <t>CAT- 3B1915</t>
  </si>
  <si>
    <t>CAT- 3K5733</t>
  </si>
  <si>
    <t>CAT- 4B4910</t>
  </si>
  <si>
    <t>CAT- 4B5387</t>
  </si>
  <si>
    <t>CAT- 4L6459</t>
  </si>
  <si>
    <t>CAT- 4N0432</t>
  </si>
  <si>
    <t>CAT- 4N2953</t>
  </si>
  <si>
    <t>CAT- 4P7830</t>
  </si>
  <si>
    <t>CAT- 4P9806</t>
  </si>
  <si>
    <t>CAT- 4P9807</t>
  </si>
  <si>
    <t>CAT- 4P9808</t>
  </si>
  <si>
    <t>CAT- 4P9809</t>
  </si>
  <si>
    <t>CAT- 4W7354</t>
  </si>
  <si>
    <t>CAT- 5M2894</t>
  </si>
  <si>
    <t>CAT- 5P1075</t>
  </si>
  <si>
    <t>CAT- 5P7854</t>
  </si>
  <si>
    <t>CAT- 5S4546</t>
  </si>
  <si>
    <t>CAT- 6B7469</t>
  </si>
  <si>
    <t>CAT- 6I1346</t>
  </si>
  <si>
    <t>CAT- 6I1564</t>
  </si>
  <si>
    <t>CAT- 6N2985</t>
  </si>
  <si>
    <t>CAT- 6N8003</t>
  </si>
  <si>
    <t>CAT- 6V8042</t>
  </si>
  <si>
    <t>CAT- 7C9535</t>
  </si>
  <si>
    <t>CAT- 7C9539</t>
  </si>
  <si>
    <t>CAT- 7C9541</t>
  </si>
  <si>
    <t>CAT- 7E2464</t>
  </si>
  <si>
    <t>CAT- 7E4892</t>
  </si>
  <si>
    <t>CAT- 7E5346</t>
  </si>
  <si>
    <t>CAT- 7E9301</t>
  </si>
  <si>
    <t>CAT- 7M7219</t>
  </si>
  <si>
    <t>CAT- 7N2171</t>
  </si>
  <si>
    <t>CAT- 7N7267</t>
  </si>
  <si>
    <t>CAT- 7W0250</t>
  </si>
  <si>
    <t>CAT- 7W9020</t>
  </si>
  <si>
    <t>CAT- 8N1721</t>
  </si>
  <si>
    <t>CAT- 8N2503</t>
  </si>
  <si>
    <t>CAT- 8N2505</t>
  </si>
  <si>
    <t>CAT- 8N2510</t>
  </si>
  <si>
    <t>CAT- 8N2641</t>
  </si>
  <si>
    <t>CAT- 8N5132</t>
  </si>
  <si>
    <t>CAT- 8N5763</t>
  </si>
  <si>
    <t>CAT- 8N8228</t>
  </si>
  <si>
    <t>CAT- 8S8874</t>
  </si>
  <si>
    <t>CAT- 9M1974</t>
  </si>
  <si>
    <t>CAT- 9M2904</t>
  </si>
  <si>
    <t>CAT- 9M5732</t>
  </si>
  <si>
    <t>CAT- 9N1754</t>
  </si>
  <si>
    <t>CAT- 9Y8088</t>
  </si>
  <si>
    <t>CAT-1245572</t>
  </si>
  <si>
    <t>UNIT SALE</t>
  </si>
  <si>
    <t>EXTN SALE</t>
  </si>
  <si>
    <t>CAT-3442603</t>
  </si>
  <si>
    <t>NOT RECEIVED</t>
  </si>
  <si>
    <t xml:space="preserve">DAMAGE/ Serviciable </t>
  </si>
  <si>
    <t>USE FROM COAL MINES</t>
  </si>
  <si>
    <t>SHAFT AS PUMP</t>
  </si>
  <si>
    <t>WASHER</t>
  </si>
  <si>
    <t>LOCKPLATE</t>
  </si>
  <si>
    <t>COMPLETE CARTRIDGE USED FROM 3306 KHOKHAR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</si>
  <si>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</si>
  <si>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</si>
  <si>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</si>
  <si>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</si>
  <si>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</si>
  <si>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</si>
  <si>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</si>
  <si>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</si>
  <si>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</si>
  <si>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</si>
  <si>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</si>
  <si>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</si>
  <si>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</si>
  <si>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</si>
  <si>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</si>
  <si>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</si>
  <si>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</si>
  <si>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</si>
  <si>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</si>
  <si>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</si>
  <si>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</si>
  <si>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</si>
  <si>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</si>
  <si>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</si>
  <si>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</si>
  <si>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</si>
  <si>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</si>
  <si>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</si>
  <si>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</si>
  <si>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</si>
  <si>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</si>
  <si>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</si>
  <si>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</si>
  <si>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</si>
  <si>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</si>
  <si>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</si>
  <si>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</si>
  <si>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</si>
  <si>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</si>
  <si>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</si>
  <si>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</si>
  <si>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</si>
  <si>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</si>
  <si>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</si>
  <si>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</si>
  <si>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</si>
  <si>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</si>
  <si>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</si>
  <si>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</si>
  <si>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</si>
  <si>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</si>
  <si>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</si>
  <si>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</si>
  <si>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</si>
  <si>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</si>
  <si>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</si>
  <si>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</si>
  <si>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</si>
  <si>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</si>
  <si>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</si>
  <si>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</si>
  <si>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</si>
  <si>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</si>
  <si>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</si>
  <si>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</si>
  <si>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</si>
  <si>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</si>
  <si>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</si>
  <si>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</si>
  <si>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</si>
  <si>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</si>
  <si>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</si>
  <si>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</si>
  <si>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</si>
  <si>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</si>
  <si>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</si>
  <si>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</si>
  <si>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</si>
  <si>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</si>
  <si>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</si>
  <si>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</si>
  <si>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</si>
  <si>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</si>
  <si>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</si>
  <si>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</si>
  <si>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</si>
  <si>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</si>
  <si>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</si>
  <si>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</si>
  <si>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</si>
  <si>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</si>
  <si>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</si>
  <si>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</si>
  <si>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</si>
  <si>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</si>
  <si>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</si>
  <si>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</si>
  <si>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</si>
  <si>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</si>
  <si>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</si>
  <si>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</si>
  <si>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</si>
  <si>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</si>
  <si>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</si>
  <si>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</si>
  <si>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</si>
  <si>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</si>
  <si>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</si>
  <si>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</si>
  <si>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</si>
  <si>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</si>
  <si>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</si>
  <si>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</si>
  <si>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</si>
  <si>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</si>
  <si>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</si>
  <si>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</si>
  <si>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</si>
  <si>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</si>
  <si>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</si>
  <si>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</si>
  <si>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</si>
  <si>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</si>
  <si>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</si>
  <si>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</si>
  <si>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</si>
  <si>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</si>
  <si>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</si>
  <si>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</si>
  <si>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</si>
  <si>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</si>
  <si>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</si>
  <si>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</si>
  <si>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</si>
  <si>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</si>
  <si>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</si>
  <si>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</si>
  <si>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</si>
  <si>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</si>
  <si>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</si>
  <si>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</si>
  <si>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</si>
  <si>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</si>
  <si>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</si>
  <si>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</si>
  <si>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</si>
  <si>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</si>
  <si>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</si>
  <si>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</si>
  <si>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</si>
  <si>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</si>
  <si>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</si>
  <si>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</si>
  <si>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</si>
  <si>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</si>
  <si>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</si>
  <si>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</si>
  <si>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</si>
  <si>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</si>
  <si>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</si>
  <si>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</si>
  <si>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CAT- 6I1345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</si>
</sst>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7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4" borderId="2" xfId="0" applyFont="1" applyFill="1" applyBorder="1" applyAlignment="1">
      <alignment horizontal="center"/>
    </xf>
    <xf numFmtId="0" fontId="1" fillId="4" borderId="0" xfId="0" applyFont="1" applyFill="1" applyBorder="1" applyAlignment="1">
      <alignment horizontal="center"/>
    </xf>
    <xf numFmtId="0" fontId="2" fillId="0" borderId="0" xfId="0" applyFont="1"/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2" fillId="0" borderId="1" xfId="0" applyFont="1" applyBorder="1"/>
    <xf numFmtId="0" fontId="1" fillId="0" borderId="1" xfId="0" quotePrefix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2" fontId="1" fillId="5" borderId="1" xfId="0" applyNumberFormat="1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/>
    </xf>
    <xf numFmtId="2" fontId="1" fillId="0" borderId="1" xfId="0" applyNumberFormat="1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/>
    </xf>
    <xf numFmtId="2" fontId="1" fillId="4" borderId="1" xfId="0" applyNumberFormat="1" applyFont="1" applyFill="1" applyBorder="1" applyAlignment="1">
      <alignment horizontal="center"/>
    </xf>
    <xf numFmtId="0" fontId="1" fillId="0" borderId="1" xfId="0" quotePrefix="1" applyFon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11" fontId="1" fillId="0" borderId="1" xfId="0" applyNumberFormat="1" applyFont="1" applyBorder="1" applyAlignment="1">
      <alignment horizontal="center"/>
    </xf>
    <xf numFmtId="11" fontId="1" fillId="2" borderId="1" xfId="0" applyNumberFormat="1" applyFont="1" applyFill="1" applyBorder="1" applyAlignment="1">
      <alignment horizontal="center"/>
    </xf>
    <xf numFmtId="0" fontId="1" fillId="5" borderId="1" xfId="0" applyFont="1" applyFill="1" applyBorder="1"/>
    <xf numFmtId="0" fontId="2" fillId="2" borderId="1" xfId="0" applyFont="1" applyFill="1" applyBorder="1"/>
    <xf numFmtId="0" fontId="2" fillId="2" borderId="0" xfId="0" applyFont="1" applyFill="1"/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6"/>
  <sheetViews>
    <sheetView tabSelected="1" topLeftCell="A34" workbookViewId="0">
      <selection activeCell="H159" sqref="H159"/>
    </sheetView>
  </sheetViews>
  <sheetFormatPr defaultRowHeight="12" x14ac:dyDescent="0.2"/>
  <cols>
    <col min="1" max="1" width="6.7109375" style="3" customWidth="1"/>
    <col min="2" max="2" width="12.5703125" style="3" bestFit="1" customWidth="1"/>
    <col min="3" max="3" width="49" style="3" bestFit="1" customWidth="1"/>
    <col min="4" max="4" width="10.28515625" style="3" bestFit="1" customWidth="1"/>
    <col min="5" max="5" width="10.42578125" style="3" bestFit="1" customWidth="1"/>
    <col min="6" max="6" width="38.28515625" style="3" bestFit="1" customWidth="1"/>
    <col min="7" max="7" width="20.85546875" style="3" bestFit="1" customWidth="1"/>
    <col min="8" max="8" width="10" style="3" bestFit="1" customWidth="1"/>
    <col min="9" max="9" width="10.5703125" style="3" customWidth="1"/>
    <col min="10" max="10" width="29" style="3" customWidth="1"/>
    <col min="11" max="16384" width="9.140625" style="3"/>
  </cols>
  <sheetData>
    <row r="1" spans="1:10" x14ac:dyDescent="0.2">
      <c r="A1" s="1" t="s">
        <v>258</v>
      </c>
      <c r="B1" s="2"/>
      <c r="C1" s="2"/>
      <c r="D1" s="2"/>
      <c r="E1" s="2"/>
      <c r="F1" s="2"/>
      <c r="G1" s="2"/>
      <c r="H1" s="2"/>
      <c r="I1" s="2"/>
    </row>
    <row r="2" spans="1:10" x14ac:dyDescent="0.2">
      <c r="A2" s="1" t="s">
        <v>259</v>
      </c>
      <c r="B2" s="2"/>
      <c r="C2" s="2"/>
      <c r="D2" s="2"/>
      <c r="E2" s="2"/>
      <c r="F2" s="2"/>
      <c r="G2" s="2"/>
      <c r="H2" s="2"/>
      <c r="I2" s="2"/>
    </row>
    <row r="3" spans="1:10" ht="15.75" customHeight="1" x14ac:dyDescent="0.2">
      <c r="A3" s="4" t="s">
        <v>304</v>
      </c>
      <c r="B3" s="5"/>
      <c r="C3" s="5"/>
      <c r="D3" s="5"/>
      <c r="E3" s="5"/>
      <c r="F3" s="5"/>
      <c r="G3" s="5"/>
      <c r="H3" s="5"/>
      <c r="I3" s="5"/>
    </row>
    <row r="4" spans="1:10" x14ac:dyDescent="0.2">
      <c r="A4" s="6" t="s">
        <v>114</v>
      </c>
      <c r="B4" s="7" t="s">
        <v>109</v>
      </c>
      <c r="C4" s="7" t="s">
        <v>110</v>
      </c>
      <c r="D4" s="7" t="s">
        <v>111</v>
      </c>
      <c r="E4" s="7" t="s">
        <v>112</v>
      </c>
      <c r="F4" s="7" t="s">
        <v>113</v>
      </c>
      <c r="G4" s="7" t="s">
        <v>115</v>
      </c>
      <c r="H4" s="8" t="s">
        <v>375</v>
      </c>
      <c r="I4" s="8" t="s">
        <v>376</v>
      </c>
      <c r="J4" s="9"/>
    </row>
    <row r="5" spans="1:10" x14ac:dyDescent="0.2">
      <c r="A5" s="10" t="s">
        <v>385</v>
      </c>
      <c r="B5" s="11" t="s">
        <v>267</v>
      </c>
      <c r="C5" s="11" t="s">
        <v>268</v>
      </c>
      <c r="D5" s="11">
        <v>1</v>
      </c>
      <c r="E5" s="11" t="s">
        <v>269</v>
      </c>
      <c r="F5" s="11" t="s">
        <v>270</v>
      </c>
      <c r="G5" s="11" t="s">
        <v>134</v>
      </c>
      <c r="H5" s="8">
        <v>15868.94</v>
      </c>
      <c r="I5" s="8">
        <v>15868.94</v>
      </c>
      <c r="J5" s="9"/>
    </row>
    <row r="6" spans="1:10" x14ac:dyDescent="0.2">
      <c r="A6" s="10" t="s">
        <v>386</v>
      </c>
      <c r="B6" s="11" t="s">
        <v>236</v>
      </c>
      <c r="C6" s="11" t="s">
        <v>34</v>
      </c>
      <c r="D6" s="11">
        <v>1</v>
      </c>
      <c r="E6" s="11" t="s">
        <v>237</v>
      </c>
      <c r="F6" s="11" t="s">
        <v>238</v>
      </c>
      <c r="G6" s="11" t="s">
        <v>134</v>
      </c>
      <c r="H6" s="8">
        <v>6047.5</v>
      </c>
      <c r="I6" s="8">
        <v>6047.5</v>
      </c>
      <c r="J6" s="9"/>
    </row>
    <row r="7" spans="1:10" x14ac:dyDescent="0.2">
      <c r="A7" s="10" t="s">
        <v>387</v>
      </c>
      <c r="B7" s="11" t="s">
        <v>231</v>
      </c>
      <c r="C7" s="11" t="s">
        <v>34</v>
      </c>
      <c r="D7" s="11">
        <v>1</v>
      </c>
      <c r="E7" s="11" t="s">
        <v>65</v>
      </c>
      <c r="F7" s="11" t="s">
        <v>64</v>
      </c>
      <c r="G7" s="11" t="s">
        <v>134</v>
      </c>
      <c r="H7" s="8">
        <v>6534.53</v>
      </c>
      <c r="I7" s="8">
        <v>6534.53</v>
      </c>
      <c r="J7" s="9"/>
    </row>
    <row r="8" spans="1:10" x14ac:dyDescent="0.2">
      <c r="A8" s="10" t="s">
        <v>388</v>
      </c>
      <c r="B8" s="11" t="s">
        <v>232</v>
      </c>
      <c r="C8" s="11" t="s">
        <v>34</v>
      </c>
      <c r="D8" s="11">
        <v>1</v>
      </c>
      <c r="E8" s="11" t="s">
        <v>65</v>
      </c>
      <c r="F8" s="11" t="s">
        <v>64</v>
      </c>
      <c r="G8" s="11" t="s">
        <v>134</v>
      </c>
      <c r="H8" s="8">
        <v>7926.83</v>
      </c>
      <c r="I8" s="8">
        <v>7926.83</v>
      </c>
      <c r="J8" s="9"/>
    </row>
    <row r="9" spans="1:10" x14ac:dyDescent="0.2">
      <c r="A9" s="10" t="s">
        <v>389</v>
      </c>
      <c r="B9" s="6" t="s">
        <v>135</v>
      </c>
      <c r="C9" s="6" t="s">
        <v>252</v>
      </c>
      <c r="D9" s="6">
        <v>1</v>
      </c>
      <c r="E9" s="6" t="s">
        <v>36</v>
      </c>
      <c r="F9" s="6" t="s">
        <v>35</v>
      </c>
      <c r="G9" s="6" t="s">
        <v>134</v>
      </c>
      <c r="H9" s="8">
        <v>23749.91</v>
      </c>
      <c r="I9" s="8">
        <v>23749.91</v>
      </c>
      <c r="J9" s="9"/>
    </row>
    <row r="10" spans="1:10" x14ac:dyDescent="0.2">
      <c r="A10" s="10" t="s">
        <v>390</v>
      </c>
      <c r="B10" s="12" t="s">
        <v>299</v>
      </c>
      <c r="C10" s="12" t="s">
        <v>300</v>
      </c>
      <c r="D10" s="12">
        <v>1</v>
      </c>
      <c r="E10" s="12" t="s">
        <v>239</v>
      </c>
      <c r="F10" s="12" t="s">
        <v>297</v>
      </c>
      <c r="G10" s="12" t="s">
        <v>134</v>
      </c>
      <c r="H10" s="13"/>
      <c r="I10" s="13">
        <v>0</v>
      </c>
      <c r="J10" s="14" t="s">
        <v>384</v>
      </c>
    </row>
    <row r="11" spans="1:10" ht="15" customHeight="1" x14ac:dyDescent="0.2">
      <c r="A11" s="10" t="s">
        <v>391</v>
      </c>
      <c r="B11" s="15" t="s">
        <v>321</v>
      </c>
      <c r="C11" s="15" t="s">
        <v>233</v>
      </c>
      <c r="D11" s="15">
        <v>1</v>
      </c>
      <c r="E11" s="15" t="s">
        <v>234</v>
      </c>
      <c r="F11" s="15" t="s">
        <v>235</v>
      </c>
      <c r="G11" s="15" t="s">
        <v>134</v>
      </c>
      <c r="H11" s="16">
        <v>5007.91</v>
      </c>
      <c r="I11" s="8">
        <v>5007.91</v>
      </c>
      <c r="J11" s="17"/>
    </row>
    <row r="12" spans="1:10" ht="15" customHeight="1" x14ac:dyDescent="0.2">
      <c r="A12" s="10" t="s">
        <v>392</v>
      </c>
      <c r="B12" s="15" t="s">
        <v>327</v>
      </c>
      <c r="C12" s="15" t="s">
        <v>57</v>
      </c>
      <c r="D12" s="15">
        <v>3</v>
      </c>
      <c r="E12" s="15" t="s">
        <v>49</v>
      </c>
      <c r="F12" s="15" t="s">
        <v>48</v>
      </c>
      <c r="G12" s="15" t="s">
        <v>134</v>
      </c>
      <c r="H12" s="16">
        <v>1368.28</v>
      </c>
      <c r="I12" s="8">
        <v>4104.84</v>
      </c>
      <c r="J12" s="17"/>
    </row>
    <row r="13" spans="1:10" ht="15" customHeight="1" x14ac:dyDescent="0.2">
      <c r="A13" s="10" t="s">
        <v>393</v>
      </c>
      <c r="B13" s="11" t="s">
        <v>328</v>
      </c>
      <c r="C13" s="11" t="s">
        <v>271</v>
      </c>
      <c r="D13" s="11">
        <v>2</v>
      </c>
      <c r="E13" s="11" t="s">
        <v>17</v>
      </c>
      <c r="F13" s="11" t="s">
        <v>272</v>
      </c>
      <c r="G13" s="11" t="s">
        <v>134</v>
      </c>
      <c r="H13" s="8">
        <v>349.44</v>
      </c>
      <c r="I13" s="8">
        <v>698.88</v>
      </c>
      <c r="J13" s="17"/>
    </row>
    <row r="14" spans="1:10" x14ac:dyDescent="0.2">
      <c r="A14" s="10" t="s">
        <v>394</v>
      </c>
      <c r="B14" s="12" t="s">
        <v>333</v>
      </c>
      <c r="C14" s="12" t="s">
        <v>303</v>
      </c>
      <c r="D14" s="12">
        <v>2</v>
      </c>
      <c r="E14" s="12" t="s">
        <v>239</v>
      </c>
      <c r="F14" s="12" t="s">
        <v>297</v>
      </c>
      <c r="G14" s="12" t="s">
        <v>134</v>
      </c>
      <c r="H14" s="13">
        <v>2580.4</v>
      </c>
      <c r="I14" s="13">
        <v>0</v>
      </c>
      <c r="J14" s="18"/>
    </row>
    <row r="15" spans="1:10" x14ac:dyDescent="0.2">
      <c r="A15" s="10" t="s">
        <v>395</v>
      </c>
      <c r="B15" s="12" t="s">
        <v>334</v>
      </c>
      <c r="C15" s="12" t="s">
        <v>54</v>
      </c>
      <c r="D15" s="12">
        <v>4</v>
      </c>
      <c r="E15" s="12" t="s">
        <v>239</v>
      </c>
      <c r="F15" s="12" t="s">
        <v>297</v>
      </c>
      <c r="G15" s="12" t="s">
        <v>134</v>
      </c>
      <c r="H15" s="13">
        <v>653.02</v>
      </c>
      <c r="I15" s="13">
        <v>0</v>
      </c>
      <c r="J15" s="18"/>
    </row>
    <row r="16" spans="1:10" x14ac:dyDescent="0.2">
      <c r="A16" s="10" t="s">
        <v>396</v>
      </c>
      <c r="B16" s="12" t="s">
        <v>335</v>
      </c>
      <c r="C16" s="12" t="s">
        <v>67</v>
      </c>
      <c r="D16" s="12">
        <v>1</v>
      </c>
      <c r="E16" s="12" t="s">
        <v>239</v>
      </c>
      <c r="F16" s="12" t="s">
        <v>297</v>
      </c>
      <c r="G16" s="12" t="s">
        <v>134</v>
      </c>
      <c r="H16" s="13">
        <v>758.94</v>
      </c>
      <c r="I16" s="13">
        <v>0</v>
      </c>
      <c r="J16" s="18"/>
    </row>
    <row r="17" spans="1:10" x14ac:dyDescent="0.2">
      <c r="A17" s="10" t="s">
        <v>397</v>
      </c>
      <c r="B17" s="12" t="s">
        <v>336</v>
      </c>
      <c r="C17" s="12" t="s">
        <v>286</v>
      </c>
      <c r="D17" s="12">
        <v>1</v>
      </c>
      <c r="E17" s="12" t="s">
        <v>239</v>
      </c>
      <c r="F17" s="12" t="s">
        <v>297</v>
      </c>
      <c r="G17" s="12" t="s">
        <v>134</v>
      </c>
      <c r="H17" s="13">
        <v>2164.34</v>
      </c>
      <c r="I17" s="13">
        <v>0</v>
      </c>
      <c r="J17" s="18"/>
    </row>
    <row r="18" spans="1:10" x14ac:dyDescent="0.2">
      <c r="A18" s="10" t="s">
        <v>398</v>
      </c>
      <c r="B18" s="12" t="s">
        <v>337</v>
      </c>
      <c r="C18" s="12" t="s">
        <v>296</v>
      </c>
      <c r="D18" s="12">
        <v>1</v>
      </c>
      <c r="E18" s="12" t="s">
        <v>239</v>
      </c>
      <c r="F18" s="12" t="s">
        <v>297</v>
      </c>
      <c r="G18" s="12" t="s">
        <v>134</v>
      </c>
      <c r="H18" s="13">
        <v>918.37</v>
      </c>
      <c r="I18" s="13">
        <v>0</v>
      </c>
      <c r="J18" s="18"/>
    </row>
    <row r="19" spans="1:10" x14ac:dyDescent="0.2">
      <c r="A19" s="10" t="s">
        <v>399</v>
      </c>
      <c r="B19" s="12" t="s">
        <v>341</v>
      </c>
      <c r="C19" s="12" t="s">
        <v>54</v>
      </c>
      <c r="D19" s="12">
        <v>1</v>
      </c>
      <c r="E19" s="12" t="s">
        <v>239</v>
      </c>
      <c r="F19" s="12" t="s">
        <v>297</v>
      </c>
      <c r="G19" s="12" t="s">
        <v>134</v>
      </c>
      <c r="H19" s="13">
        <v>650.83000000000004</v>
      </c>
      <c r="I19" s="13">
        <v>0</v>
      </c>
      <c r="J19" s="18"/>
    </row>
    <row r="20" spans="1:10" ht="15" customHeight="1" x14ac:dyDescent="0.2">
      <c r="A20" s="10" t="s">
        <v>400</v>
      </c>
      <c r="B20" s="11" t="s">
        <v>346</v>
      </c>
      <c r="C20" s="11" t="s">
        <v>256</v>
      </c>
      <c r="D20" s="11">
        <v>2</v>
      </c>
      <c r="E20" s="11" t="s">
        <v>257</v>
      </c>
      <c r="F20" s="11" t="s">
        <v>16</v>
      </c>
      <c r="G20" s="11" t="s">
        <v>134</v>
      </c>
      <c r="H20" s="8">
        <v>11234.5</v>
      </c>
      <c r="I20" s="8">
        <v>22469</v>
      </c>
      <c r="J20" s="17"/>
    </row>
    <row r="21" spans="1:10" x14ac:dyDescent="0.2">
      <c r="A21" s="10" t="s">
        <v>401</v>
      </c>
      <c r="B21" s="12" t="s">
        <v>348</v>
      </c>
      <c r="C21" s="12" t="s">
        <v>302</v>
      </c>
      <c r="D21" s="12">
        <v>2</v>
      </c>
      <c r="E21" s="12" t="s">
        <v>239</v>
      </c>
      <c r="F21" s="12" t="s">
        <v>297</v>
      </c>
      <c r="G21" s="12" t="s">
        <v>134</v>
      </c>
      <c r="H21" s="13">
        <v>598.41999999999996</v>
      </c>
      <c r="I21" s="13">
        <v>0</v>
      </c>
      <c r="J21" s="18"/>
    </row>
    <row r="22" spans="1:10" x14ac:dyDescent="0.2">
      <c r="A22" s="10" t="s">
        <v>402</v>
      </c>
      <c r="B22" s="12" t="s">
        <v>349</v>
      </c>
      <c r="C22" s="12" t="s">
        <v>298</v>
      </c>
      <c r="D22" s="12">
        <v>1</v>
      </c>
      <c r="E22" s="12" t="s">
        <v>239</v>
      </c>
      <c r="F22" s="12" t="s">
        <v>297</v>
      </c>
      <c r="G22" s="12" t="s">
        <v>134</v>
      </c>
      <c r="H22" s="13">
        <v>3197.38</v>
      </c>
      <c r="I22" s="13">
        <v>0</v>
      </c>
      <c r="J22" s="18"/>
    </row>
    <row r="23" spans="1:10" x14ac:dyDescent="0.2">
      <c r="A23" s="10" t="s">
        <v>403</v>
      </c>
      <c r="B23" s="12" t="s">
        <v>350</v>
      </c>
      <c r="C23" s="12" t="s">
        <v>301</v>
      </c>
      <c r="D23" s="12">
        <v>1</v>
      </c>
      <c r="E23" s="12" t="s">
        <v>239</v>
      </c>
      <c r="F23" s="12" t="s">
        <v>297</v>
      </c>
      <c r="G23" s="12" t="s">
        <v>134</v>
      </c>
      <c r="H23" s="13">
        <v>2283.37</v>
      </c>
      <c r="I23" s="13">
        <v>0</v>
      </c>
      <c r="J23" s="19"/>
    </row>
    <row r="24" spans="1:10" x14ac:dyDescent="0.2">
      <c r="A24" s="10" t="s">
        <v>404</v>
      </c>
      <c r="B24" s="15" t="s">
        <v>360</v>
      </c>
      <c r="C24" s="15" t="s">
        <v>254</v>
      </c>
      <c r="D24" s="15">
        <v>2</v>
      </c>
      <c r="E24" s="15" t="s">
        <v>36</v>
      </c>
      <c r="F24" s="15" t="s">
        <v>35</v>
      </c>
      <c r="G24" s="15" t="s">
        <v>134</v>
      </c>
      <c r="H24" s="16">
        <v>39331.660000000003</v>
      </c>
      <c r="I24" s="8">
        <v>39331.660000000003</v>
      </c>
      <c r="J24" s="9"/>
    </row>
    <row r="25" spans="1:10" x14ac:dyDescent="0.2">
      <c r="A25" s="10" t="s">
        <v>405</v>
      </c>
      <c r="B25" s="15" t="s">
        <v>370</v>
      </c>
      <c r="C25" s="15" t="s">
        <v>227</v>
      </c>
      <c r="D25" s="15">
        <v>1</v>
      </c>
      <c r="E25" s="15" t="s">
        <v>69</v>
      </c>
      <c r="F25" s="15" t="s">
        <v>68</v>
      </c>
      <c r="G25" s="15" t="s">
        <v>134</v>
      </c>
      <c r="H25" s="16">
        <v>345.07</v>
      </c>
      <c r="I25" s="8">
        <v>345.07</v>
      </c>
      <c r="J25" s="9"/>
    </row>
    <row r="26" spans="1:10" x14ac:dyDescent="0.2">
      <c r="A26" s="10" t="s">
        <v>406</v>
      </c>
      <c r="B26" s="20" t="s">
        <v>377</v>
      </c>
      <c r="C26" s="20" t="s">
        <v>253</v>
      </c>
      <c r="D26" s="20">
        <v>1</v>
      </c>
      <c r="E26" s="20" t="s">
        <v>13</v>
      </c>
      <c r="F26" s="20" t="s">
        <v>12</v>
      </c>
      <c r="G26" s="20" t="s">
        <v>379</v>
      </c>
      <c r="H26" s="21">
        <v>250000</v>
      </c>
      <c r="I26" s="21">
        <v>250000</v>
      </c>
      <c r="J26" s="9"/>
    </row>
    <row r="27" spans="1:10" x14ac:dyDescent="0.2">
      <c r="A27" s="10" t="s">
        <v>407</v>
      </c>
      <c r="B27" s="22" t="s">
        <v>307</v>
      </c>
      <c r="C27" s="15" t="s">
        <v>67</v>
      </c>
      <c r="D27" s="15">
        <v>1</v>
      </c>
      <c r="E27" s="15" t="s">
        <v>105</v>
      </c>
      <c r="F27" s="15" t="s">
        <v>104</v>
      </c>
      <c r="G27" s="15" t="s">
        <v>127</v>
      </c>
      <c r="H27" s="16">
        <v>806.99</v>
      </c>
      <c r="I27" s="8">
        <v>806.99</v>
      </c>
      <c r="J27" s="9"/>
    </row>
    <row r="28" spans="1:10" x14ac:dyDescent="0.2">
      <c r="A28" s="10" t="s">
        <v>408</v>
      </c>
      <c r="B28" s="6" t="s">
        <v>136</v>
      </c>
      <c r="C28" s="6" t="s">
        <v>14</v>
      </c>
      <c r="D28" s="6">
        <v>2</v>
      </c>
      <c r="E28" s="6" t="s">
        <v>13</v>
      </c>
      <c r="F28" s="6" t="s">
        <v>12</v>
      </c>
      <c r="G28" s="6" t="s">
        <v>127</v>
      </c>
      <c r="H28" s="8">
        <v>4323.2299999999996</v>
      </c>
      <c r="I28" s="8">
        <v>8646.4599999999991</v>
      </c>
      <c r="J28" s="9"/>
    </row>
    <row r="29" spans="1:10" x14ac:dyDescent="0.2">
      <c r="A29" s="10" t="s">
        <v>409</v>
      </c>
      <c r="B29" s="6" t="s">
        <v>153</v>
      </c>
      <c r="C29" s="6" t="s">
        <v>23</v>
      </c>
      <c r="D29" s="6">
        <v>6</v>
      </c>
      <c r="E29" s="6" t="s">
        <v>20</v>
      </c>
      <c r="F29" s="6" t="s">
        <v>19</v>
      </c>
      <c r="G29" s="6" t="s">
        <v>127</v>
      </c>
      <c r="H29" s="8">
        <v>4392.0200000000004</v>
      </c>
      <c r="I29" s="8">
        <v>26352.120000000003</v>
      </c>
      <c r="J29" s="9"/>
    </row>
    <row r="30" spans="1:10" x14ac:dyDescent="0.2">
      <c r="A30" s="10" t="s">
        <v>410</v>
      </c>
      <c r="B30" s="11" t="s">
        <v>137</v>
      </c>
      <c r="C30" s="11" t="s">
        <v>95</v>
      </c>
      <c r="D30" s="11">
        <v>1</v>
      </c>
      <c r="E30" s="11" t="s">
        <v>90</v>
      </c>
      <c r="F30" s="11" t="s">
        <v>89</v>
      </c>
      <c r="G30" s="11" t="s">
        <v>127</v>
      </c>
      <c r="H30" s="8">
        <v>1081.08</v>
      </c>
      <c r="I30" s="8">
        <v>1081.08</v>
      </c>
      <c r="J30" s="9"/>
    </row>
    <row r="31" spans="1:10" x14ac:dyDescent="0.2">
      <c r="A31" s="10" t="s">
        <v>411</v>
      </c>
      <c r="B31" s="11" t="s">
        <v>262</v>
      </c>
      <c r="C31" s="11" t="s">
        <v>263</v>
      </c>
      <c r="D31" s="11">
        <v>6</v>
      </c>
      <c r="E31" s="11" t="s">
        <v>20</v>
      </c>
      <c r="F31" s="11" t="s">
        <v>19</v>
      </c>
      <c r="G31" s="11" t="s">
        <v>127</v>
      </c>
      <c r="H31" s="8">
        <v>1606.33</v>
      </c>
      <c r="I31" s="8">
        <v>9637.98</v>
      </c>
      <c r="J31" s="9"/>
    </row>
    <row r="32" spans="1:10" x14ac:dyDescent="0.2">
      <c r="A32" s="10" t="s">
        <v>412</v>
      </c>
      <c r="B32" s="11" t="s">
        <v>260</v>
      </c>
      <c r="C32" s="11" t="s">
        <v>261</v>
      </c>
      <c r="D32" s="11">
        <v>6</v>
      </c>
      <c r="E32" s="11" t="s">
        <v>20</v>
      </c>
      <c r="F32" s="11" t="s">
        <v>19</v>
      </c>
      <c r="G32" s="11" t="s">
        <v>127</v>
      </c>
      <c r="H32" s="8">
        <v>1909.91</v>
      </c>
      <c r="I32" s="8">
        <v>11459.460000000001</v>
      </c>
      <c r="J32" s="9"/>
    </row>
    <row r="33" spans="1:10" x14ac:dyDescent="0.2">
      <c r="A33" s="10" t="s">
        <v>413</v>
      </c>
      <c r="B33" s="11" t="s">
        <v>152</v>
      </c>
      <c r="C33" s="11" t="s">
        <v>87</v>
      </c>
      <c r="D33" s="11">
        <v>1</v>
      </c>
      <c r="E33" s="11" t="s">
        <v>86</v>
      </c>
      <c r="F33" s="11" t="s">
        <v>85</v>
      </c>
      <c r="G33" s="11" t="s">
        <v>127</v>
      </c>
      <c r="H33" s="8">
        <v>6641.54</v>
      </c>
      <c r="I33" s="8">
        <v>6641.54</v>
      </c>
      <c r="J33" s="9"/>
    </row>
    <row r="34" spans="1:10" x14ac:dyDescent="0.2">
      <c r="A34" s="10" t="s">
        <v>414</v>
      </c>
      <c r="B34" s="11" t="s">
        <v>146</v>
      </c>
      <c r="C34" s="11" t="s">
        <v>78</v>
      </c>
      <c r="D34" s="11">
        <v>1</v>
      </c>
      <c r="E34" s="11" t="s">
        <v>77</v>
      </c>
      <c r="F34" s="11" t="s">
        <v>76</v>
      </c>
      <c r="G34" s="11" t="s">
        <v>127</v>
      </c>
      <c r="H34" s="8">
        <v>1271.0899999999999</v>
      </c>
      <c r="I34" s="8">
        <v>1271.0899999999999</v>
      </c>
      <c r="J34" s="9"/>
    </row>
    <row r="35" spans="1:10" x14ac:dyDescent="0.2">
      <c r="A35" s="10" t="s">
        <v>415</v>
      </c>
      <c r="B35" s="11" t="s">
        <v>144</v>
      </c>
      <c r="C35" s="11" t="s">
        <v>34</v>
      </c>
      <c r="D35" s="11">
        <v>1</v>
      </c>
      <c r="E35" s="11" t="s">
        <v>33</v>
      </c>
      <c r="F35" s="11" t="s">
        <v>32</v>
      </c>
      <c r="G35" s="11" t="s">
        <v>127</v>
      </c>
      <c r="H35" s="8">
        <v>6159.97</v>
      </c>
      <c r="I35" s="8">
        <v>6159.97</v>
      </c>
      <c r="J35" s="9"/>
    </row>
    <row r="36" spans="1:10" x14ac:dyDescent="0.2">
      <c r="A36" s="10" t="s">
        <v>416</v>
      </c>
      <c r="B36" s="6" t="s">
        <v>154</v>
      </c>
      <c r="C36" s="6" t="s">
        <v>25</v>
      </c>
      <c r="D36" s="6">
        <v>12</v>
      </c>
      <c r="E36" s="6" t="s">
        <v>20</v>
      </c>
      <c r="F36" s="6" t="s">
        <v>19</v>
      </c>
      <c r="G36" s="6" t="s">
        <v>127</v>
      </c>
      <c r="H36" s="8">
        <v>1274.3599999999999</v>
      </c>
      <c r="I36" s="8">
        <v>15292.32</v>
      </c>
      <c r="J36" s="9"/>
    </row>
    <row r="37" spans="1:10" x14ac:dyDescent="0.2">
      <c r="A37" s="10" t="s">
        <v>417</v>
      </c>
      <c r="B37" s="6" t="s">
        <v>155</v>
      </c>
      <c r="C37" s="6" t="s">
        <v>24</v>
      </c>
      <c r="D37" s="6">
        <v>6</v>
      </c>
      <c r="E37" s="6" t="s">
        <v>20</v>
      </c>
      <c r="F37" s="6" t="s">
        <v>19</v>
      </c>
      <c r="G37" s="6" t="s">
        <v>127</v>
      </c>
      <c r="H37" s="8">
        <v>4173.62</v>
      </c>
      <c r="I37" s="8">
        <v>25041.72</v>
      </c>
      <c r="J37" s="9"/>
    </row>
    <row r="38" spans="1:10" x14ac:dyDescent="0.2">
      <c r="A38" s="10" t="s">
        <v>418</v>
      </c>
      <c r="B38" s="11" t="s">
        <v>149</v>
      </c>
      <c r="C38" s="11" t="s">
        <v>29</v>
      </c>
      <c r="D38" s="11">
        <v>1</v>
      </c>
      <c r="E38" s="11" t="s">
        <v>80</v>
      </c>
      <c r="F38" s="11" t="s">
        <v>79</v>
      </c>
      <c r="G38" s="11" t="s">
        <v>127</v>
      </c>
      <c r="H38" s="8">
        <v>4704.34</v>
      </c>
      <c r="I38" s="8">
        <v>4704.34</v>
      </c>
      <c r="J38" s="9"/>
    </row>
    <row r="39" spans="1:10" x14ac:dyDescent="0.2">
      <c r="A39" s="10" t="s">
        <v>419</v>
      </c>
      <c r="B39" s="11" t="s">
        <v>150</v>
      </c>
      <c r="C39" s="11" t="s">
        <v>81</v>
      </c>
      <c r="D39" s="11">
        <v>1</v>
      </c>
      <c r="E39" s="11" t="s">
        <v>80</v>
      </c>
      <c r="F39" s="11" t="s">
        <v>79</v>
      </c>
      <c r="G39" s="11" t="s">
        <v>127</v>
      </c>
      <c r="H39" s="8">
        <v>3973.79</v>
      </c>
      <c r="I39" s="8">
        <v>3973.79</v>
      </c>
      <c r="J39" s="9"/>
    </row>
    <row r="40" spans="1:10" x14ac:dyDescent="0.2">
      <c r="A40" s="10" t="s">
        <v>420</v>
      </c>
      <c r="B40" s="11" t="s">
        <v>147</v>
      </c>
      <c r="C40" s="11" t="s">
        <v>126</v>
      </c>
      <c r="D40" s="11">
        <v>1</v>
      </c>
      <c r="E40" s="11"/>
      <c r="F40" s="11" t="s">
        <v>127</v>
      </c>
      <c r="G40" s="11" t="s">
        <v>127</v>
      </c>
      <c r="H40" s="8">
        <v>238.06</v>
      </c>
      <c r="I40" s="8">
        <v>238.06</v>
      </c>
      <c r="J40" s="9"/>
    </row>
    <row r="41" spans="1:10" x14ac:dyDescent="0.2">
      <c r="A41" s="10" t="s">
        <v>421</v>
      </c>
      <c r="B41" s="11" t="s">
        <v>264</v>
      </c>
      <c r="C41" s="11" t="s">
        <v>265</v>
      </c>
      <c r="D41" s="11">
        <v>4</v>
      </c>
      <c r="E41" s="11" t="s">
        <v>105</v>
      </c>
      <c r="F41" s="11" t="s">
        <v>266</v>
      </c>
      <c r="G41" s="11" t="s">
        <v>127</v>
      </c>
      <c r="H41" s="8">
        <v>19714.97</v>
      </c>
      <c r="I41" s="8">
        <v>78859.88</v>
      </c>
      <c r="J41" s="9"/>
    </row>
    <row r="42" spans="1:10" x14ac:dyDescent="0.2">
      <c r="A42" s="10" t="s">
        <v>422</v>
      </c>
      <c r="B42" s="11" t="s">
        <v>151</v>
      </c>
      <c r="C42" s="11" t="s">
        <v>84</v>
      </c>
      <c r="D42" s="11">
        <v>1</v>
      </c>
      <c r="E42" s="11" t="s">
        <v>80</v>
      </c>
      <c r="F42" s="11" t="s">
        <v>79</v>
      </c>
      <c r="G42" s="11" t="s">
        <v>127</v>
      </c>
      <c r="H42" s="8">
        <v>885.61</v>
      </c>
      <c r="I42" s="8">
        <v>885.61</v>
      </c>
      <c r="J42" s="9"/>
    </row>
    <row r="43" spans="1:10" x14ac:dyDescent="0.2">
      <c r="A43" s="10" t="s">
        <v>423</v>
      </c>
      <c r="B43" s="11" t="s">
        <v>138</v>
      </c>
      <c r="C43" s="11" t="s">
        <v>18</v>
      </c>
      <c r="D43" s="11">
        <v>1</v>
      </c>
      <c r="E43" s="11" t="s">
        <v>31</v>
      </c>
      <c r="F43" s="11" t="s">
        <v>30</v>
      </c>
      <c r="G43" s="11" t="s">
        <v>127</v>
      </c>
      <c r="H43" s="8">
        <v>1617.25</v>
      </c>
      <c r="I43" s="8">
        <v>1617.25</v>
      </c>
      <c r="J43" s="9"/>
    </row>
    <row r="44" spans="1:10" x14ac:dyDescent="0.2">
      <c r="A44" s="10" t="s">
        <v>424</v>
      </c>
      <c r="B44" s="11" t="s">
        <v>139</v>
      </c>
      <c r="C44" s="11" t="s">
        <v>18</v>
      </c>
      <c r="D44" s="11">
        <v>1</v>
      </c>
      <c r="E44" s="11" t="s">
        <v>31</v>
      </c>
      <c r="F44" s="11" t="s">
        <v>30</v>
      </c>
      <c r="G44" s="11" t="s">
        <v>127</v>
      </c>
      <c r="H44" s="8">
        <v>1544.09</v>
      </c>
      <c r="I44" s="8">
        <v>1544.09</v>
      </c>
      <c r="J44" s="9"/>
    </row>
    <row r="45" spans="1:10" x14ac:dyDescent="0.2">
      <c r="A45" s="10" t="s">
        <v>425</v>
      </c>
      <c r="B45" s="11" t="s">
        <v>145</v>
      </c>
      <c r="C45" s="11" t="s">
        <v>108</v>
      </c>
      <c r="D45" s="11">
        <v>6</v>
      </c>
      <c r="E45" s="11" t="s">
        <v>105</v>
      </c>
      <c r="F45" s="11" t="s">
        <v>104</v>
      </c>
      <c r="G45" s="11" t="s">
        <v>127</v>
      </c>
      <c r="H45" s="8">
        <v>203.11</v>
      </c>
      <c r="I45" s="8">
        <v>1218.6600000000001</v>
      </c>
      <c r="J45" s="9"/>
    </row>
    <row r="46" spans="1:10" x14ac:dyDescent="0.2">
      <c r="A46" s="10" t="s">
        <v>426</v>
      </c>
      <c r="B46" s="11" t="s">
        <v>148</v>
      </c>
      <c r="C46" s="11" t="s">
        <v>44</v>
      </c>
      <c r="D46" s="11">
        <v>6</v>
      </c>
      <c r="E46" s="11" t="s">
        <v>36</v>
      </c>
      <c r="F46" s="11" t="s">
        <v>35</v>
      </c>
      <c r="G46" s="11" t="s">
        <v>127</v>
      </c>
      <c r="H46" s="8">
        <v>3276</v>
      </c>
      <c r="I46" s="8">
        <v>19656</v>
      </c>
      <c r="J46" s="9"/>
    </row>
    <row r="47" spans="1:10" x14ac:dyDescent="0.2">
      <c r="A47" s="10" t="s">
        <v>427</v>
      </c>
      <c r="B47" s="11" t="s">
        <v>140</v>
      </c>
      <c r="C47" s="11" t="s">
        <v>118</v>
      </c>
      <c r="D47" s="11">
        <v>1</v>
      </c>
      <c r="E47" s="11"/>
      <c r="F47" s="11" t="s">
        <v>117</v>
      </c>
      <c r="G47" s="11" t="s">
        <v>127</v>
      </c>
      <c r="H47" s="8">
        <v>48113.52</v>
      </c>
      <c r="I47" s="8">
        <v>48113.52</v>
      </c>
      <c r="J47" s="9"/>
    </row>
    <row r="48" spans="1:10" x14ac:dyDescent="0.2">
      <c r="A48" s="10" t="s">
        <v>428</v>
      </c>
      <c r="B48" s="11" t="s">
        <v>141</v>
      </c>
      <c r="C48" s="11" t="s">
        <v>120</v>
      </c>
      <c r="D48" s="11">
        <v>1</v>
      </c>
      <c r="E48" s="11"/>
      <c r="F48" s="11" t="s">
        <v>117</v>
      </c>
      <c r="G48" s="11" t="s">
        <v>127</v>
      </c>
      <c r="H48" s="8">
        <v>5229.59</v>
      </c>
      <c r="I48" s="8">
        <v>5229.59</v>
      </c>
      <c r="J48" s="9"/>
    </row>
    <row r="49" spans="1:10" x14ac:dyDescent="0.2">
      <c r="A49" s="10" t="s">
        <v>429</v>
      </c>
      <c r="B49" s="11" t="s">
        <v>142</v>
      </c>
      <c r="C49" s="11" t="s">
        <v>122</v>
      </c>
      <c r="D49" s="11">
        <v>1</v>
      </c>
      <c r="E49" s="11"/>
      <c r="F49" s="11" t="s">
        <v>117</v>
      </c>
      <c r="G49" s="11" t="s">
        <v>127</v>
      </c>
      <c r="H49" s="8">
        <v>12659.56</v>
      </c>
      <c r="I49" s="8">
        <v>12659.56</v>
      </c>
      <c r="J49" s="9"/>
    </row>
    <row r="50" spans="1:10" x14ac:dyDescent="0.2">
      <c r="A50" s="10" t="s">
        <v>430</v>
      </c>
      <c r="B50" s="11" t="s">
        <v>143</v>
      </c>
      <c r="C50" s="11" t="s">
        <v>121</v>
      </c>
      <c r="D50" s="11">
        <v>1</v>
      </c>
      <c r="E50" s="11"/>
      <c r="F50" s="11" t="s">
        <v>117</v>
      </c>
      <c r="G50" s="11" t="s">
        <v>127</v>
      </c>
      <c r="H50" s="8">
        <v>19027.009999999998</v>
      </c>
      <c r="I50" s="8">
        <v>19027.009999999998</v>
      </c>
      <c r="J50" s="9"/>
    </row>
    <row r="51" spans="1:10" x14ac:dyDescent="0.2">
      <c r="A51" s="10" t="s">
        <v>431</v>
      </c>
      <c r="B51" s="11" t="s">
        <v>191</v>
      </c>
      <c r="C51" s="11" t="s">
        <v>8</v>
      </c>
      <c r="D51" s="11">
        <v>4</v>
      </c>
      <c r="E51" s="11" t="s">
        <v>72</v>
      </c>
      <c r="F51" s="11" t="s">
        <v>71</v>
      </c>
      <c r="G51" s="11" t="s">
        <v>127</v>
      </c>
      <c r="H51" s="8">
        <v>31.67</v>
      </c>
      <c r="I51" s="8">
        <v>126.68</v>
      </c>
      <c r="J51" s="9"/>
    </row>
    <row r="52" spans="1:10" x14ac:dyDescent="0.2">
      <c r="A52" s="10" t="s">
        <v>432</v>
      </c>
      <c r="B52" s="6" t="s">
        <v>374</v>
      </c>
      <c r="C52" s="6" t="s">
        <v>133</v>
      </c>
      <c r="D52" s="6">
        <v>1</v>
      </c>
      <c r="E52" s="6" t="s">
        <v>132</v>
      </c>
      <c r="F52" s="6" t="s">
        <v>0</v>
      </c>
      <c r="G52" s="6" t="s">
        <v>127</v>
      </c>
      <c r="H52" s="8">
        <v>2704.88</v>
      </c>
      <c r="I52" s="8">
        <v>2704.88</v>
      </c>
      <c r="J52" s="9"/>
    </row>
    <row r="53" spans="1:10" x14ac:dyDescent="0.2">
      <c r="A53" s="10" t="s">
        <v>433</v>
      </c>
      <c r="B53" s="11" t="s">
        <v>204</v>
      </c>
      <c r="C53" s="11" t="s">
        <v>54</v>
      </c>
      <c r="D53" s="11">
        <v>1</v>
      </c>
      <c r="E53" s="11" t="s">
        <v>80</v>
      </c>
      <c r="F53" s="11" t="s">
        <v>79</v>
      </c>
      <c r="G53" s="11" t="s">
        <v>127</v>
      </c>
      <c r="H53" s="8">
        <v>1256.8900000000001</v>
      </c>
      <c r="I53" s="8">
        <v>1256.8900000000001</v>
      </c>
      <c r="J53" s="9"/>
    </row>
    <row r="54" spans="1:10" x14ac:dyDescent="0.2">
      <c r="A54" s="10" t="s">
        <v>434</v>
      </c>
      <c r="B54" s="11" t="s">
        <v>160</v>
      </c>
      <c r="C54" s="11" t="s">
        <v>58</v>
      </c>
      <c r="D54" s="11">
        <v>4</v>
      </c>
      <c r="E54" s="11" t="s">
        <v>56</v>
      </c>
      <c r="F54" s="11" t="s">
        <v>55</v>
      </c>
      <c r="G54" s="11" t="s">
        <v>127</v>
      </c>
      <c r="H54" s="8">
        <v>8125.57</v>
      </c>
      <c r="I54" s="8">
        <v>32502.28</v>
      </c>
      <c r="J54" s="9"/>
    </row>
    <row r="55" spans="1:10" x14ac:dyDescent="0.2">
      <c r="A55" s="10" t="s">
        <v>435</v>
      </c>
      <c r="B55" s="11" t="s">
        <v>195</v>
      </c>
      <c r="C55" s="11" t="s">
        <v>42</v>
      </c>
      <c r="D55" s="11">
        <v>12</v>
      </c>
      <c r="E55" s="11" t="s">
        <v>36</v>
      </c>
      <c r="F55" s="11" t="s">
        <v>35</v>
      </c>
      <c r="G55" s="11" t="s">
        <v>127</v>
      </c>
      <c r="H55" s="8">
        <v>2133.77</v>
      </c>
      <c r="I55" s="8">
        <v>25605.239999999998</v>
      </c>
      <c r="J55" s="9"/>
    </row>
    <row r="56" spans="1:10" x14ac:dyDescent="0.2">
      <c r="A56" s="10" t="s">
        <v>436</v>
      </c>
      <c r="B56" s="11" t="s">
        <v>180</v>
      </c>
      <c r="C56" s="11" t="s">
        <v>103</v>
      </c>
      <c r="D56" s="11">
        <v>1</v>
      </c>
      <c r="E56" s="11" t="s">
        <v>102</v>
      </c>
      <c r="F56" s="11" t="s">
        <v>101</v>
      </c>
      <c r="G56" s="11" t="s">
        <v>127</v>
      </c>
      <c r="H56" s="8">
        <v>1918.64</v>
      </c>
      <c r="I56" s="8">
        <v>1918.64</v>
      </c>
      <c r="J56" s="9"/>
    </row>
    <row r="57" spans="1:10" x14ac:dyDescent="0.2">
      <c r="A57" s="10" t="s">
        <v>437</v>
      </c>
      <c r="B57" s="11" t="s">
        <v>178</v>
      </c>
      <c r="C57" s="11" t="s">
        <v>66</v>
      </c>
      <c r="D57" s="11">
        <v>1</v>
      </c>
      <c r="E57" s="11" t="s">
        <v>65</v>
      </c>
      <c r="F57" s="11" t="s">
        <v>64</v>
      </c>
      <c r="G57" s="11" t="s">
        <v>127</v>
      </c>
      <c r="H57" s="8">
        <v>1979.8</v>
      </c>
      <c r="I57" s="8">
        <v>1979.8</v>
      </c>
      <c r="J57" s="9"/>
    </row>
    <row r="58" spans="1:10" x14ac:dyDescent="0.2">
      <c r="A58" s="10" t="s">
        <v>438</v>
      </c>
      <c r="B58" s="11" t="s">
        <v>196</v>
      </c>
      <c r="C58" s="11" t="s">
        <v>40</v>
      </c>
      <c r="D58" s="11">
        <v>12</v>
      </c>
      <c r="E58" s="11" t="s">
        <v>36</v>
      </c>
      <c r="F58" s="11" t="s">
        <v>35</v>
      </c>
      <c r="G58" s="11" t="s">
        <v>127</v>
      </c>
      <c r="H58" s="8">
        <v>243.52</v>
      </c>
      <c r="I58" s="8">
        <v>2922.2400000000002</v>
      </c>
      <c r="J58" s="9"/>
    </row>
    <row r="59" spans="1:10" x14ac:dyDescent="0.2">
      <c r="A59" s="10" t="s">
        <v>439</v>
      </c>
      <c r="B59" s="11" t="s">
        <v>317</v>
      </c>
      <c r="C59" s="11" t="s">
        <v>293</v>
      </c>
      <c r="D59" s="11">
        <v>1</v>
      </c>
      <c r="E59" s="11" t="s">
        <v>294</v>
      </c>
      <c r="F59" s="11" t="s">
        <v>295</v>
      </c>
      <c r="G59" s="11" t="s">
        <v>127</v>
      </c>
      <c r="H59" s="8">
        <v>5413.04</v>
      </c>
      <c r="I59" s="8">
        <v>5413.04</v>
      </c>
      <c r="J59" s="9"/>
    </row>
    <row r="60" spans="1:10" x14ac:dyDescent="0.2">
      <c r="A60" s="10" t="s">
        <v>440</v>
      </c>
      <c r="B60" s="11" t="s">
        <v>318</v>
      </c>
      <c r="C60" s="11" t="s">
        <v>282</v>
      </c>
      <c r="D60" s="11">
        <v>1</v>
      </c>
      <c r="E60" s="11" t="s">
        <v>279</v>
      </c>
      <c r="F60" s="11" t="s">
        <v>280</v>
      </c>
      <c r="G60" s="11" t="s">
        <v>127</v>
      </c>
      <c r="H60" s="8">
        <v>7321.86</v>
      </c>
      <c r="I60" s="8">
        <v>7321.86</v>
      </c>
      <c r="J60" s="9"/>
    </row>
    <row r="61" spans="1:10" x14ac:dyDescent="0.2">
      <c r="A61" s="10" t="s">
        <v>441</v>
      </c>
      <c r="B61" s="11" t="s">
        <v>319</v>
      </c>
      <c r="C61" s="11" t="s">
        <v>287</v>
      </c>
      <c r="D61" s="11">
        <v>1</v>
      </c>
      <c r="E61" s="11" t="s">
        <v>279</v>
      </c>
      <c r="F61" s="11" t="s">
        <v>280</v>
      </c>
      <c r="G61" s="11" t="s">
        <v>127</v>
      </c>
      <c r="H61" s="8">
        <v>537.26</v>
      </c>
      <c r="I61" s="8">
        <v>537.26</v>
      </c>
      <c r="J61" s="9"/>
    </row>
    <row r="62" spans="1:10" x14ac:dyDescent="0.2">
      <c r="A62" s="10" t="s">
        <v>442</v>
      </c>
      <c r="B62" s="11" t="s">
        <v>171</v>
      </c>
      <c r="C62" s="11" t="s">
        <v>22</v>
      </c>
      <c r="D62" s="11">
        <v>24</v>
      </c>
      <c r="E62" s="11" t="s">
        <v>20</v>
      </c>
      <c r="F62" s="11" t="s">
        <v>19</v>
      </c>
      <c r="G62" s="11" t="s">
        <v>127</v>
      </c>
      <c r="H62" s="8">
        <v>88.45</v>
      </c>
      <c r="I62" s="8">
        <v>2122.8000000000002</v>
      </c>
      <c r="J62" s="9"/>
    </row>
    <row r="63" spans="1:10" x14ac:dyDescent="0.2">
      <c r="A63" s="10" t="s">
        <v>443</v>
      </c>
      <c r="B63" s="11" t="s">
        <v>174</v>
      </c>
      <c r="C63" s="11" t="s">
        <v>91</v>
      </c>
      <c r="D63" s="11">
        <v>14</v>
      </c>
      <c r="E63" s="11" t="s">
        <v>90</v>
      </c>
      <c r="F63" s="11" t="s">
        <v>89</v>
      </c>
      <c r="G63" s="11" t="s">
        <v>127</v>
      </c>
      <c r="H63" s="8">
        <v>642.1</v>
      </c>
      <c r="I63" s="8">
        <v>8989.4</v>
      </c>
      <c r="J63" s="9"/>
    </row>
    <row r="64" spans="1:10" x14ac:dyDescent="0.2">
      <c r="A64" s="10" t="s">
        <v>444</v>
      </c>
      <c r="B64" s="11" t="s">
        <v>323</v>
      </c>
      <c r="C64" s="11" t="s">
        <v>278</v>
      </c>
      <c r="D64" s="11">
        <v>1</v>
      </c>
      <c r="E64" s="11" t="s">
        <v>279</v>
      </c>
      <c r="F64" s="11" t="s">
        <v>280</v>
      </c>
      <c r="G64" s="11" t="s">
        <v>127</v>
      </c>
      <c r="H64" s="8">
        <v>1492.76</v>
      </c>
      <c r="I64" s="8">
        <v>1492.76</v>
      </c>
      <c r="J64" s="9"/>
    </row>
    <row r="65" spans="1:10" x14ac:dyDescent="0.2">
      <c r="A65" s="10" t="s">
        <v>445</v>
      </c>
      <c r="B65" s="11" t="s">
        <v>324</v>
      </c>
      <c r="C65" s="11" t="s">
        <v>57</v>
      </c>
      <c r="D65" s="11">
        <v>1</v>
      </c>
      <c r="E65" s="11" t="s">
        <v>279</v>
      </c>
      <c r="F65" s="11" t="s">
        <v>280</v>
      </c>
      <c r="G65" s="11" t="s">
        <v>127</v>
      </c>
      <c r="H65" s="8">
        <v>703.25</v>
      </c>
      <c r="I65" s="8">
        <v>703.25</v>
      </c>
      <c r="J65" s="9"/>
    </row>
    <row r="66" spans="1:10" x14ac:dyDescent="0.2">
      <c r="A66" s="10" t="s">
        <v>446</v>
      </c>
      <c r="B66" s="11" t="s">
        <v>164</v>
      </c>
      <c r="C66" s="11" t="s">
        <v>62</v>
      </c>
      <c r="D66" s="11">
        <v>1</v>
      </c>
      <c r="E66" s="11" t="s">
        <v>61</v>
      </c>
      <c r="F66" s="11" t="s">
        <v>60</v>
      </c>
      <c r="G66" s="11" t="s">
        <v>127</v>
      </c>
      <c r="H66" s="8">
        <v>3806.71</v>
      </c>
      <c r="I66" s="8">
        <v>3806.71</v>
      </c>
      <c r="J66" s="9"/>
    </row>
    <row r="67" spans="1:10" x14ac:dyDescent="0.2">
      <c r="A67" s="10" t="s">
        <v>447</v>
      </c>
      <c r="B67" s="6" t="s">
        <v>214</v>
      </c>
      <c r="C67" s="6" t="s">
        <v>128</v>
      </c>
      <c r="D67" s="6">
        <v>1</v>
      </c>
      <c r="E67" s="6" t="s">
        <v>129</v>
      </c>
      <c r="F67" s="6" t="s">
        <v>130</v>
      </c>
      <c r="G67" s="6" t="s">
        <v>127</v>
      </c>
      <c r="H67" s="8">
        <v>349.44</v>
      </c>
      <c r="I67" s="8">
        <v>349.44</v>
      </c>
      <c r="J67" s="9"/>
    </row>
    <row r="68" spans="1:10" x14ac:dyDescent="0.2">
      <c r="A68" s="10" t="s">
        <v>448</v>
      </c>
      <c r="B68" s="11" t="s">
        <v>179</v>
      </c>
      <c r="C68" s="11" t="s">
        <v>67</v>
      </c>
      <c r="D68" s="11">
        <v>1</v>
      </c>
      <c r="E68" s="11" t="s">
        <v>65</v>
      </c>
      <c r="F68" s="11" t="s">
        <v>64</v>
      </c>
      <c r="G68" s="11" t="s">
        <v>127</v>
      </c>
      <c r="H68" s="8">
        <v>162.71</v>
      </c>
      <c r="I68" s="8">
        <v>162.71</v>
      </c>
      <c r="J68" s="9"/>
    </row>
    <row r="69" spans="1:10" x14ac:dyDescent="0.2">
      <c r="A69" s="10" t="s">
        <v>449</v>
      </c>
      <c r="B69" s="11" t="s">
        <v>326</v>
      </c>
      <c r="C69" s="11" t="s">
        <v>57</v>
      </c>
      <c r="D69" s="11">
        <v>1</v>
      </c>
      <c r="E69" s="11" t="s">
        <v>279</v>
      </c>
      <c r="F69" s="11" t="s">
        <v>280</v>
      </c>
      <c r="G69" s="11" t="s">
        <v>127</v>
      </c>
      <c r="H69" s="8">
        <v>659.57</v>
      </c>
      <c r="I69" s="8">
        <v>659.57</v>
      </c>
      <c r="J69" s="9"/>
    </row>
    <row r="70" spans="1:10" x14ac:dyDescent="0.2">
      <c r="A70" s="10" t="s">
        <v>450</v>
      </c>
      <c r="B70" s="11" t="s">
        <v>209</v>
      </c>
      <c r="C70" s="11" t="s">
        <v>51</v>
      </c>
      <c r="D70" s="11">
        <v>10</v>
      </c>
      <c r="E70" s="11" t="s">
        <v>49</v>
      </c>
      <c r="F70" s="11" t="s">
        <v>48</v>
      </c>
      <c r="G70" s="11" t="s">
        <v>127</v>
      </c>
      <c r="H70" s="8">
        <v>29.48</v>
      </c>
      <c r="I70" s="8">
        <v>294.8</v>
      </c>
      <c r="J70" s="9"/>
    </row>
    <row r="71" spans="1:10" x14ac:dyDescent="0.2">
      <c r="A71" s="10" t="s">
        <v>451</v>
      </c>
      <c r="B71" s="6" t="s">
        <v>167</v>
      </c>
      <c r="C71" s="6" t="s">
        <v>11</v>
      </c>
      <c r="D71" s="6">
        <v>2</v>
      </c>
      <c r="E71" s="6" t="s">
        <v>10</v>
      </c>
      <c r="F71" s="6" t="s">
        <v>9</v>
      </c>
      <c r="G71" s="6" t="s">
        <v>127</v>
      </c>
      <c r="H71" s="8">
        <v>435.71</v>
      </c>
      <c r="I71" s="8">
        <v>871.42</v>
      </c>
      <c r="J71" s="9"/>
    </row>
    <row r="72" spans="1:10" x14ac:dyDescent="0.2">
      <c r="A72" s="10" t="s">
        <v>452</v>
      </c>
      <c r="B72" s="11" t="s">
        <v>330</v>
      </c>
      <c r="C72" s="11" t="s">
        <v>83</v>
      </c>
      <c r="D72" s="11">
        <v>1</v>
      </c>
      <c r="E72" s="11" t="s">
        <v>279</v>
      </c>
      <c r="F72" s="11" t="s">
        <v>280</v>
      </c>
      <c r="G72" s="11" t="s">
        <v>127</v>
      </c>
      <c r="H72" s="8">
        <v>1279.82</v>
      </c>
      <c r="I72" s="8">
        <v>1279.82</v>
      </c>
      <c r="J72" s="9"/>
    </row>
    <row r="73" spans="1:10" x14ac:dyDescent="0.2">
      <c r="A73" s="10" t="s">
        <v>453</v>
      </c>
      <c r="B73" s="11" t="s">
        <v>331</v>
      </c>
      <c r="C73" s="11" t="s">
        <v>284</v>
      </c>
      <c r="D73" s="11">
        <v>1</v>
      </c>
      <c r="E73" s="11" t="s">
        <v>279</v>
      </c>
      <c r="F73" s="11" t="s">
        <v>280</v>
      </c>
      <c r="G73" s="11" t="s">
        <v>127</v>
      </c>
      <c r="H73" s="8">
        <v>68.8</v>
      </c>
      <c r="I73" s="8">
        <v>68.8</v>
      </c>
      <c r="J73" s="9"/>
    </row>
    <row r="74" spans="1:10" x14ac:dyDescent="0.2">
      <c r="A74" s="10" t="s">
        <v>454</v>
      </c>
      <c r="B74" s="11" t="s">
        <v>184</v>
      </c>
      <c r="C74" s="11" t="s">
        <v>98</v>
      </c>
      <c r="D74" s="11">
        <v>1</v>
      </c>
      <c r="E74" s="11" t="s">
        <v>97</v>
      </c>
      <c r="F74" s="11" t="s">
        <v>96</v>
      </c>
      <c r="G74" s="11" t="s">
        <v>127</v>
      </c>
      <c r="H74" s="8">
        <v>1633.63</v>
      </c>
      <c r="I74" s="8">
        <v>1633.63</v>
      </c>
      <c r="J74" s="9"/>
    </row>
    <row r="75" spans="1:10" x14ac:dyDescent="0.2">
      <c r="A75" s="10" t="s">
        <v>455</v>
      </c>
      <c r="B75" s="11" t="s">
        <v>202</v>
      </c>
      <c r="C75" s="11" t="s">
        <v>75</v>
      </c>
      <c r="D75" s="11">
        <v>1</v>
      </c>
      <c r="E75" s="11" t="s">
        <v>74</v>
      </c>
      <c r="F75" s="11" t="s">
        <v>73</v>
      </c>
      <c r="G75" s="11" t="s">
        <v>127</v>
      </c>
      <c r="H75" s="23">
        <v>4269.72</v>
      </c>
      <c r="I75" s="8">
        <v>4269.72</v>
      </c>
      <c r="J75" s="9"/>
    </row>
    <row r="76" spans="1:10" x14ac:dyDescent="0.2">
      <c r="A76" s="10" t="s">
        <v>456</v>
      </c>
      <c r="B76" s="11" t="s">
        <v>187</v>
      </c>
      <c r="C76" s="11" t="s">
        <v>34</v>
      </c>
      <c r="D76" s="11">
        <v>1</v>
      </c>
      <c r="E76" s="11" t="s">
        <v>33</v>
      </c>
      <c r="F76" s="11" t="s">
        <v>32</v>
      </c>
      <c r="G76" s="11" t="s">
        <v>127</v>
      </c>
      <c r="H76" s="23">
        <v>5327.87</v>
      </c>
      <c r="I76" s="8">
        <v>5327.87</v>
      </c>
      <c r="J76" s="9"/>
    </row>
    <row r="77" spans="1:10" x14ac:dyDescent="0.2">
      <c r="A77" s="10" t="s">
        <v>457</v>
      </c>
      <c r="B77" s="11" t="s">
        <v>192</v>
      </c>
      <c r="C77" s="11" t="s">
        <v>67</v>
      </c>
      <c r="D77" s="11">
        <v>1</v>
      </c>
      <c r="E77" s="11" t="s">
        <v>105</v>
      </c>
      <c r="F77" s="11" t="s">
        <v>104</v>
      </c>
      <c r="G77" s="11" t="s">
        <v>127</v>
      </c>
      <c r="H77" s="8">
        <v>624.62</v>
      </c>
      <c r="I77" s="8">
        <v>624.62</v>
      </c>
      <c r="J77" s="9"/>
    </row>
    <row r="78" spans="1:10" x14ac:dyDescent="0.2">
      <c r="A78" s="10" t="s">
        <v>458</v>
      </c>
      <c r="B78" s="11" t="s">
        <v>182</v>
      </c>
      <c r="C78" s="11" t="s">
        <v>116</v>
      </c>
      <c r="D78" s="11">
        <v>6</v>
      </c>
      <c r="E78" s="11"/>
      <c r="F78" s="11" t="s">
        <v>117</v>
      </c>
      <c r="G78" s="11" t="s">
        <v>127</v>
      </c>
      <c r="H78" s="8">
        <v>2882.88</v>
      </c>
      <c r="I78" s="8">
        <v>17297.28</v>
      </c>
      <c r="J78" s="9"/>
    </row>
    <row r="79" spans="1:10" x14ac:dyDescent="0.2">
      <c r="A79" s="10" t="s">
        <v>459</v>
      </c>
      <c r="B79" s="11" t="s">
        <v>210</v>
      </c>
      <c r="C79" s="11" t="s">
        <v>52</v>
      </c>
      <c r="D79" s="11">
        <v>2</v>
      </c>
      <c r="E79" s="11" t="s">
        <v>49</v>
      </c>
      <c r="F79" s="11" t="s">
        <v>48</v>
      </c>
      <c r="G79" s="11" t="s">
        <v>127</v>
      </c>
      <c r="H79" s="8">
        <v>1321.32</v>
      </c>
      <c r="I79" s="8">
        <v>2642.64</v>
      </c>
      <c r="J79" s="9"/>
    </row>
    <row r="80" spans="1:10" x14ac:dyDescent="0.2">
      <c r="A80" s="10" t="s">
        <v>460</v>
      </c>
      <c r="B80" s="11" t="s">
        <v>197</v>
      </c>
      <c r="C80" s="11" t="s">
        <v>43</v>
      </c>
      <c r="D80" s="11">
        <v>12</v>
      </c>
      <c r="E80" s="11" t="s">
        <v>36</v>
      </c>
      <c r="F80" s="11" t="s">
        <v>35</v>
      </c>
      <c r="G80" s="11" t="s">
        <v>127</v>
      </c>
      <c r="H80" s="8">
        <v>757.85</v>
      </c>
      <c r="I80" s="8">
        <v>9094.2000000000007</v>
      </c>
      <c r="J80" s="9"/>
    </row>
    <row r="81" spans="1:10" x14ac:dyDescent="0.2">
      <c r="A81" s="10" t="s">
        <v>461</v>
      </c>
      <c r="B81" s="11" t="s">
        <v>198</v>
      </c>
      <c r="C81" s="11" t="s">
        <v>38</v>
      </c>
      <c r="D81" s="11">
        <v>6</v>
      </c>
      <c r="E81" s="11" t="s">
        <v>36</v>
      </c>
      <c r="F81" s="11" t="s">
        <v>35</v>
      </c>
      <c r="G81" s="11" t="s">
        <v>127</v>
      </c>
      <c r="H81" s="8">
        <v>2992.08</v>
      </c>
      <c r="I81" s="8">
        <v>17952.48</v>
      </c>
      <c r="J81" s="9"/>
    </row>
    <row r="82" spans="1:10" x14ac:dyDescent="0.2">
      <c r="A82" s="10" t="s">
        <v>462</v>
      </c>
      <c r="B82" s="11" t="s">
        <v>205</v>
      </c>
      <c r="C82" s="11" t="s">
        <v>83</v>
      </c>
      <c r="D82" s="11">
        <v>2</v>
      </c>
      <c r="E82" s="11" t="s">
        <v>80</v>
      </c>
      <c r="F82" s="11" t="s">
        <v>79</v>
      </c>
      <c r="G82" s="11" t="s">
        <v>127</v>
      </c>
      <c r="H82" s="8">
        <v>3880.97</v>
      </c>
      <c r="I82" s="8">
        <v>7761.94</v>
      </c>
      <c r="J82" s="9"/>
    </row>
    <row r="83" spans="1:10" x14ac:dyDescent="0.2">
      <c r="A83" s="10" t="s">
        <v>463</v>
      </c>
      <c r="B83" s="11" t="s">
        <v>199</v>
      </c>
      <c r="C83" s="11" t="s">
        <v>39</v>
      </c>
      <c r="D83" s="11">
        <v>6</v>
      </c>
      <c r="E83" s="11" t="s">
        <v>36</v>
      </c>
      <c r="F83" s="11" t="s">
        <v>35</v>
      </c>
      <c r="G83" s="11" t="s">
        <v>127</v>
      </c>
      <c r="H83" s="8">
        <v>2992.08</v>
      </c>
      <c r="I83" s="8">
        <v>17952.48</v>
      </c>
      <c r="J83" s="9"/>
    </row>
    <row r="84" spans="1:10" x14ac:dyDescent="0.2">
      <c r="A84" s="10" t="s">
        <v>464</v>
      </c>
      <c r="B84" s="11" t="s">
        <v>188</v>
      </c>
      <c r="C84" s="11" t="s">
        <v>131</v>
      </c>
      <c r="D84" s="11">
        <v>1</v>
      </c>
      <c r="E84" s="11" t="s">
        <v>33</v>
      </c>
      <c r="F84" s="11" t="s">
        <v>32</v>
      </c>
      <c r="G84" s="11" t="s">
        <v>127</v>
      </c>
      <c r="H84" s="8">
        <v>7937.75</v>
      </c>
      <c r="I84" s="8">
        <v>7937.75</v>
      </c>
      <c r="J84" s="9"/>
    </row>
    <row r="85" spans="1:10" x14ac:dyDescent="0.2">
      <c r="A85" s="10" t="s">
        <v>465</v>
      </c>
      <c r="B85" s="11" t="s">
        <v>344</v>
      </c>
      <c r="C85" s="11" t="s">
        <v>273</v>
      </c>
      <c r="D85" s="11">
        <v>1</v>
      </c>
      <c r="E85" s="11" t="s">
        <v>274</v>
      </c>
      <c r="F85" s="11" t="s">
        <v>275</v>
      </c>
      <c r="G85" s="11" t="s">
        <v>127</v>
      </c>
      <c r="H85" s="8">
        <v>398.58</v>
      </c>
      <c r="I85" s="8">
        <v>398.58</v>
      </c>
      <c r="J85" s="9"/>
    </row>
    <row r="86" spans="1:10" x14ac:dyDescent="0.2">
      <c r="A86" s="10" t="s">
        <v>466</v>
      </c>
      <c r="B86" s="11" t="s">
        <v>206</v>
      </c>
      <c r="C86" s="11" t="s">
        <v>82</v>
      </c>
      <c r="D86" s="11">
        <v>1</v>
      </c>
      <c r="E86" s="11" t="s">
        <v>80</v>
      </c>
      <c r="F86" s="11" t="s">
        <v>79</v>
      </c>
      <c r="G86" s="11" t="s">
        <v>127</v>
      </c>
      <c r="H86" s="8">
        <v>547.09</v>
      </c>
      <c r="I86" s="8">
        <v>547.09</v>
      </c>
      <c r="J86" s="9"/>
    </row>
    <row r="87" spans="1:10" x14ac:dyDescent="0.2">
      <c r="A87" s="10" t="s">
        <v>467</v>
      </c>
      <c r="B87" s="11" t="s">
        <v>185</v>
      </c>
      <c r="C87" s="11" t="s">
        <v>100</v>
      </c>
      <c r="D87" s="11">
        <v>1</v>
      </c>
      <c r="E87" s="11" t="s">
        <v>99</v>
      </c>
      <c r="F87" s="11" t="s">
        <v>96</v>
      </c>
      <c r="G87" s="11" t="s">
        <v>127</v>
      </c>
      <c r="H87" s="8">
        <v>669.4</v>
      </c>
      <c r="I87" s="8">
        <v>669.4</v>
      </c>
      <c r="J87" s="9"/>
    </row>
    <row r="88" spans="1:10" x14ac:dyDescent="0.2">
      <c r="A88" s="10" t="s">
        <v>468</v>
      </c>
      <c r="B88" s="11" t="s">
        <v>186</v>
      </c>
      <c r="C88" s="11" t="s">
        <v>100</v>
      </c>
      <c r="D88" s="11">
        <v>1</v>
      </c>
      <c r="E88" s="11" t="s">
        <v>99</v>
      </c>
      <c r="F88" s="11" t="s">
        <v>96</v>
      </c>
      <c r="G88" s="11" t="s">
        <v>127</v>
      </c>
      <c r="H88" s="8">
        <v>580.94000000000005</v>
      </c>
      <c r="I88" s="8">
        <v>580.94000000000005</v>
      </c>
      <c r="J88" s="9"/>
    </row>
    <row r="89" spans="1:10" x14ac:dyDescent="0.2">
      <c r="A89" s="10" t="s">
        <v>469</v>
      </c>
      <c r="B89" s="11" t="s">
        <v>172</v>
      </c>
      <c r="C89" s="11" t="s">
        <v>21</v>
      </c>
      <c r="D89" s="11">
        <v>12</v>
      </c>
      <c r="E89" s="11" t="s">
        <v>20</v>
      </c>
      <c r="F89" s="11" t="s">
        <v>19</v>
      </c>
      <c r="G89" s="11" t="s">
        <v>127</v>
      </c>
      <c r="H89" s="8">
        <v>291.56</v>
      </c>
      <c r="I89" s="8">
        <v>3498.7200000000003</v>
      </c>
      <c r="J89" s="9"/>
    </row>
    <row r="90" spans="1:10" x14ac:dyDescent="0.2">
      <c r="A90" s="10" t="s">
        <v>470</v>
      </c>
      <c r="B90" s="11" t="s">
        <v>175</v>
      </c>
      <c r="C90" s="11" t="s">
        <v>93</v>
      </c>
      <c r="D90" s="11">
        <v>9</v>
      </c>
      <c r="E90" s="11" t="s">
        <v>90</v>
      </c>
      <c r="F90" s="11" t="s">
        <v>89</v>
      </c>
      <c r="G90" s="11" t="s">
        <v>127</v>
      </c>
      <c r="H90" s="8">
        <v>1114.93</v>
      </c>
      <c r="I90" s="8">
        <v>10034.370000000001</v>
      </c>
      <c r="J90" s="9"/>
    </row>
    <row r="91" spans="1:10" x14ac:dyDescent="0.2">
      <c r="A91" s="10" t="s">
        <v>471</v>
      </c>
      <c r="B91" s="11" t="s">
        <v>176</v>
      </c>
      <c r="C91" s="11" t="s">
        <v>94</v>
      </c>
      <c r="D91" s="11">
        <v>4</v>
      </c>
      <c r="E91" s="11" t="s">
        <v>90</v>
      </c>
      <c r="F91" s="11" t="s">
        <v>89</v>
      </c>
      <c r="G91" s="11" t="s">
        <v>127</v>
      </c>
      <c r="H91" s="8">
        <v>1189.19</v>
      </c>
      <c r="I91" s="8">
        <v>4756.76</v>
      </c>
      <c r="J91" s="9"/>
    </row>
    <row r="92" spans="1:10" x14ac:dyDescent="0.2">
      <c r="A92" s="10" t="s">
        <v>472</v>
      </c>
      <c r="B92" s="11" t="s">
        <v>183</v>
      </c>
      <c r="C92" s="11" t="s">
        <v>119</v>
      </c>
      <c r="D92" s="11">
        <v>1</v>
      </c>
      <c r="E92" s="11"/>
      <c r="F92" s="11" t="s">
        <v>117</v>
      </c>
      <c r="G92" s="11" t="s">
        <v>127</v>
      </c>
      <c r="H92" s="8">
        <v>13124.75</v>
      </c>
      <c r="I92" s="8">
        <v>13124.75</v>
      </c>
      <c r="J92" s="9"/>
    </row>
    <row r="93" spans="1:10" x14ac:dyDescent="0.2">
      <c r="A93" s="10" t="s">
        <v>473</v>
      </c>
      <c r="B93" s="11" t="s">
        <v>347</v>
      </c>
      <c r="C93" s="11" t="s">
        <v>291</v>
      </c>
      <c r="D93" s="11">
        <v>1</v>
      </c>
      <c r="E93" s="11"/>
      <c r="F93" s="11" t="s">
        <v>292</v>
      </c>
      <c r="G93" s="11" t="s">
        <v>127</v>
      </c>
      <c r="H93" s="8">
        <v>17712.240000000002</v>
      </c>
      <c r="I93" s="8">
        <v>17712.240000000002</v>
      </c>
      <c r="J93" s="9"/>
    </row>
    <row r="94" spans="1:10" x14ac:dyDescent="0.2">
      <c r="A94" s="10" t="s">
        <v>474</v>
      </c>
      <c r="B94" s="11" t="s">
        <v>173</v>
      </c>
      <c r="C94" s="11" t="s">
        <v>28</v>
      </c>
      <c r="D94" s="11">
        <v>1</v>
      </c>
      <c r="E94" s="11" t="s">
        <v>27</v>
      </c>
      <c r="F94" s="11" t="s">
        <v>26</v>
      </c>
      <c r="G94" s="11" t="s">
        <v>127</v>
      </c>
      <c r="H94" s="8">
        <v>1132.4000000000001</v>
      </c>
      <c r="I94" s="8">
        <v>1132.4000000000001</v>
      </c>
      <c r="J94" s="9"/>
    </row>
    <row r="95" spans="1:10" x14ac:dyDescent="0.2">
      <c r="A95" s="10" t="s">
        <v>475</v>
      </c>
      <c r="B95" s="24" t="s">
        <v>351</v>
      </c>
      <c r="C95" s="11" t="s">
        <v>277</v>
      </c>
      <c r="D95" s="11">
        <v>4</v>
      </c>
      <c r="E95" s="11" t="s">
        <v>294</v>
      </c>
      <c r="F95" s="11" t="s">
        <v>295</v>
      </c>
      <c r="G95" s="11" t="s">
        <v>127</v>
      </c>
      <c r="H95" s="8">
        <v>523.07000000000005</v>
      </c>
      <c r="I95" s="8">
        <v>2092.2800000000002</v>
      </c>
      <c r="J95" s="9"/>
    </row>
    <row r="96" spans="1:10" x14ac:dyDescent="0.2">
      <c r="A96" s="10" t="s">
        <v>476</v>
      </c>
      <c r="B96" s="24" t="s">
        <v>352</v>
      </c>
      <c r="C96" s="11" t="s">
        <v>285</v>
      </c>
      <c r="D96" s="11">
        <v>2</v>
      </c>
      <c r="E96" s="11" t="s">
        <v>279</v>
      </c>
      <c r="F96" s="11" t="s">
        <v>280</v>
      </c>
      <c r="G96" s="11" t="s">
        <v>127</v>
      </c>
      <c r="H96" s="23">
        <v>469.56</v>
      </c>
      <c r="I96" s="8">
        <v>939.12</v>
      </c>
      <c r="J96" s="9"/>
    </row>
    <row r="97" spans="1:10" x14ac:dyDescent="0.2">
      <c r="A97" s="10" t="s">
        <v>477</v>
      </c>
      <c r="B97" s="24" t="s">
        <v>353</v>
      </c>
      <c r="C97" s="11" t="s">
        <v>288</v>
      </c>
      <c r="D97" s="11">
        <v>1</v>
      </c>
      <c r="E97" s="11" t="s">
        <v>279</v>
      </c>
      <c r="F97" s="11" t="s">
        <v>280</v>
      </c>
      <c r="G97" s="11" t="s">
        <v>127</v>
      </c>
      <c r="H97" s="8">
        <v>291.56</v>
      </c>
      <c r="I97" s="8">
        <v>291.56</v>
      </c>
      <c r="J97" s="9"/>
    </row>
    <row r="98" spans="1:10" x14ac:dyDescent="0.2">
      <c r="A98" s="10" t="s">
        <v>478</v>
      </c>
      <c r="B98" s="25" t="s">
        <v>181</v>
      </c>
      <c r="C98" s="6" t="s">
        <v>70</v>
      </c>
      <c r="D98" s="6">
        <v>2</v>
      </c>
      <c r="E98" s="6" t="s">
        <v>69</v>
      </c>
      <c r="F98" s="6" t="s">
        <v>68</v>
      </c>
      <c r="G98" s="6" t="s">
        <v>127</v>
      </c>
      <c r="H98" s="8">
        <v>4500.13</v>
      </c>
      <c r="I98" s="8">
        <v>9000.26</v>
      </c>
      <c r="J98" s="9"/>
    </row>
    <row r="99" spans="1:10" x14ac:dyDescent="0.2">
      <c r="A99" s="10" t="s">
        <v>479</v>
      </c>
      <c r="B99" s="25" t="s">
        <v>156</v>
      </c>
      <c r="C99" s="6" t="s">
        <v>2</v>
      </c>
      <c r="D99" s="6">
        <v>1</v>
      </c>
      <c r="E99" s="6" t="s">
        <v>1</v>
      </c>
      <c r="F99" s="6" t="s">
        <v>0</v>
      </c>
      <c r="G99" s="6" t="s">
        <v>127</v>
      </c>
      <c r="H99" s="8">
        <v>13349.7</v>
      </c>
      <c r="I99" s="8">
        <v>13349.7</v>
      </c>
      <c r="J99" s="9"/>
    </row>
    <row r="100" spans="1:10" x14ac:dyDescent="0.2">
      <c r="A100" s="10" t="s">
        <v>480</v>
      </c>
      <c r="B100" s="25" t="s">
        <v>157</v>
      </c>
      <c r="C100" s="6" t="s">
        <v>3</v>
      </c>
      <c r="D100" s="6">
        <v>2</v>
      </c>
      <c r="E100" s="6" t="s">
        <v>1</v>
      </c>
      <c r="F100" s="6" t="s">
        <v>0</v>
      </c>
      <c r="G100" s="6" t="s">
        <v>127</v>
      </c>
      <c r="H100" s="8">
        <v>5832.37</v>
      </c>
      <c r="I100" s="8">
        <v>11664.74</v>
      </c>
      <c r="J100" s="9"/>
    </row>
    <row r="101" spans="1:10" x14ac:dyDescent="0.2">
      <c r="A101" s="10" t="s">
        <v>481</v>
      </c>
      <c r="B101" s="25" t="s">
        <v>158</v>
      </c>
      <c r="C101" s="6" t="s">
        <v>4</v>
      </c>
      <c r="D101" s="6">
        <v>1</v>
      </c>
      <c r="E101" s="6" t="s">
        <v>1</v>
      </c>
      <c r="F101" s="6" t="s">
        <v>0</v>
      </c>
      <c r="G101" s="6" t="s">
        <v>127</v>
      </c>
      <c r="H101" s="8">
        <v>16421.5</v>
      </c>
      <c r="I101" s="8">
        <v>16421.5</v>
      </c>
      <c r="J101" s="9"/>
    </row>
    <row r="102" spans="1:10" x14ac:dyDescent="0.2">
      <c r="A102" s="10" t="s">
        <v>482</v>
      </c>
      <c r="B102" s="11" t="s">
        <v>169</v>
      </c>
      <c r="C102" s="11" t="s">
        <v>18</v>
      </c>
      <c r="D102" s="11">
        <v>4</v>
      </c>
      <c r="E102" s="11" t="s">
        <v>17</v>
      </c>
      <c r="F102" s="11" t="s">
        <v>16</v>
      </c>
      <c r="G102" s="11" t="s">
        <v>127</v>
      </c>
      <c r="H102" s="8">
        <v>2923.28</v>
      </c>
      <c r="I102" s="8">
        <v>11693.12</v>
      </c>
      <c r="J102" s="9"/>
    </row>
    <row r="103" spans="1:10" x14ac:dyDescent="0.2">
      <c r="A103" s="10" t="s">
        <v>483</v>
      </c>
      <c r="B103" s="11" t="s">
        <v>355</v>
      </c>
      <c r="C103" s="11" t="s">
        <v>286</v>
      </c>
      <c r="D103" s="11">
        <v>1</v>
      </c>
      <c r="E103" s="11" t="s">
        <v>279</v>
      </c>
      <c r="F103" s="11" t="s">
        <v>280</v>
      </c>
      <c r="G103" s="11" t="s">
        <v>127</v>
      </c>
      <c r="H103" s="8">
        <v>346.16</v>
      </c>
      <c r="I103" s="8">
        <v>346.16</v>
      </c>
      <c r="J103" s="9"/>
    </row>
    <row r="104" spans="1:10" x14ac:dyDescent="0.2">
      <c r="A104" s="10" t="s">
        <v>484</v>
      </c>
      <c r="B104" s="11" t="s">
        <v>211</v>
      </c>
      <c r="C104" s="11" t="s">
        <v>53</v>
      </c>
      <c r="D104" s="11">
        <v>2</v>
      </c>
      <c r="E104" s="11" t="s">
        <v>49</v>
      </c>
      <c r="F104" s="11" t="s">
        <v>48</v>
      </c>
      <c r="G104" s="11" t="s">
        <v>127</v>
      </c>
      <c r="H104" s="8">
        <v>90.64</v>
      </c>
      <c r="I104" s="8">
        <v>181.28</v>
      </c>
      <c r="J104" s="9"/>
    </row>
    <row r="105" spans="1:10" x14ac:dyDescent="0.2">
      <c r="A105" s="10" t="s">
        <v>485</v>
      </c>
      <c r="B105" s="11" t="s">
        <v>356</v>
      </c>
      <c r="C105" s="11" t="s">
        <v>54</v>
      </c>
      <c r="D105" s="11">
        <v>4</v>
      </c>
      <c r="E105" s="11" t="s">
        <v>279</v>
      </c>
      <c r="F105" s="11" t="s">
        <v>280</v>
      </c>
      <c r="G105" s="11" t="s">
        <v>127</v>
      </c>
      <c r="H105" s="8">
        <v>30.58</v>
      </c>
      <c r="I105" s="8">
        <v>122.32</v>
      </c>
      <c r="J105" s="9"/>
    </row>
    <row r="106" spans="1:10" x14ac:dyDescent="0.2">
      <c r="A106" s="10" t="s">
        <v>486</v>
      </c>
      <c r="B106" s="11" t="s">
        <v>357</v>
      </c>
      <c r="C106" s="11" t="s">
        <v>57</v>
      </c>
      <c r="D106" s="11">
        <v>1</v>
      </c>
      <c r="E106" s="11" t="s">
        <v>279</v>
      </c>
      <c r="F106" s="11" t="s">
        <v>280</v>
      </c>
      <c r="G106" s="11" t="s">
        <v>127</v>
      </c>
      <c r="H106" s="8">
        <v>1230.68</v>
      </c>
      <c r="I106" s="8">
        <v>1230.68</v>
      </c>
      <c r="J106" s="9"/>
    </row>
    <row r="107" spans="1:10" x14ac:dyDescent="0.2">
      <c r="A107" s="10" t="s">
        <v>487</v>
      </c>
      <c r="B107" s="11" t="s">
        <v>358</v>
      </c>
      <c r="C107" s="11" t="s">
        <v>283</v>
      </c>
      <c r="D107" s="11">
        <v>1</v>
      </c>
      <c r="E107" s="11" t="s">
        <v>279</v>
      </c>
      <c r="F107" s="11" t="s">
        <v>280</v>
      </c>
      <c r="G107" s="11" t="s">
        <v>127</v>
      </c>
      <c r="H107" s="8">
        <v>4193.28</v>
      </c>
      <c r="I107" s="8">
        <v>4193.28</v>
      </c>
      <c r="J107" s="9"/>
    </row>
    <row r="108" spans="1:10" x14ac:dyDescent="0.2">
      <c r="A108" s="10" t="s">
        <v>488</v>
      </c>
      <c r="B108" s="11" t="s">
        <v>193</v>
      </c>
      <c r="C108" s="11" t="s">
        <v>107</v>
      </c>
      <c r="D108" s="11">
        <v>6</v>
      </c>
      <c r="E108" s="11" t="s">
        <v>105</v>
      </c>
      <c r="F108" s="11" t="s">
        <v>104</v>
      </c>
      <c r="G108" s="11" t="s">
        <v>127</v>
      </c>
      <c r="H108" s="8">
        <v>119.03</v>
      </c>
      <c r="I108" s="8">
        <v>714.18000000000006</v>
      </c>
      <c r="J108" s="9"/>
    </row>
    <row r="109" spans="1:10" x14ac:dyDescent="0.2">
      <c r="A109" s="10" t="s">
        <v>489</v>
      </c>
      <c r="B109" s="11" t="s">
        <v>161</v>
      </c>
      <c r="C109" s="11" t="s">
        <v>28</v>
      </c>
      <c r="D109" s="11">
        <v>1</v>
      </c>
      <c r="E109" s="11" t="s">
        <v>56</v>
      </c>
      <c r="F109" s="11" t="s">
        <v>55</v>
      </c>
      <c r="G109" s="11" t="s">
        <v>127</v>
      </c>
      <c r="H109" s="8">
        <v>466.28</v>
      </c>
      <c r="I109" s="8">
        <v>466.28</v>
      </c>
      <c r="J109" s="9"/>
    </row>
    <row r="110" spans="1:10" x14ac:dyDescent="0.2">
      <c r="A110" s="10" t="s">
        <v>490</v>
      </c>
      <c r="B110" s="11" t="s">
        <v>162</v>
      </c>
      <c r="C110" s="11" t="s">
        <v>59</v>
      </c>
      <c r="D110" s="11">
        <v>1</v>
      </c>
      <c r="E110" s="11" t="s">
        <v>56</v>
      </c>
      <c r="F110" s="11" t="s">
        <v>55</v>
      </c>
      <c r="G110" s="11" t="s">
        <v>127</v>
      </c>
      <c r="H110" s="8">
        <v>2370.73</v>
      </c>
      <c r="I110" s="8">
        <v>2370.73</v>
      </c>
      <c r="J110" s="9"/>
    </row>
    <row r="111" spans="1:10" x14ac:dyDescent="0.2">
      <c r="A111" s="10" t="s">
        <v>491</v>
      </c>
      <c r="B111" s="11" t="s">
        <v>163</v>
      </c>
      <c r="C111" s="11" t="s">
        <v>57</v>
      </c>
      <c r="D111" s="11">
        <v>4</v>
      </c>
      <c r="E111" s="11" t="s">
        <v>56</v>
      </c>
      <c r="F111" s="11" t="s">
        <v>55</v>
      </c>
      <c r="G111" s="11" t="s">
        <v>127</v>
      </c>
      <c r="H111" s="8">
        <v>1229.5899999999999</v>
      </c>
      <c r="I111" s="8">
        <v>4918.3599999999997</v>
      </c>
      <c r="J111" s="9"/>
    </row>
    <row r="112" spans="1:10" x14ac:dyDescent="0.2">
      <c r="A112" s="10" t="s">
        <v>492</v>
      </c>
      <c r="B112" s="6" t="s">
        <v>159</v>
      </c>
      <c r="C112" s="6" t="s">
        <v>5</v>
      </c>
      <c r="D112" s="6">
        <v>1</v>
      </c>
      <c r="E112" s="6" t="s">
        <v>1</v>
      </c>
      <c r="F112" s="6" t="s">
        <v>0</v>
      </c>
      <c r="G112" s="6" t="s">
        <v>127</v>
      </c>
      <c r="H112" s="8">
        <v>127.76</v>
      </c>
      <c r="I112" s="8">
        <v>127.76</v>
      </c>
      <c r="J112" s="9"/>
    </row>
    <row r="113" spans="1:10" x14ac:dyDescent="0.2">
      <c r="A113" s="10" t="s">
        <v>493</v>
      </c>
      <c r="B113" s="11" t="s">
        <v>177</v>
      </c>
      <c r="C113" s="11" t="s">
        <v>92</v>
      </c>
      <c r="D113" s="11">
        <v>9</v>
      </c>
      <c r="E113" s="11" t="s">
        <v>90</v>
      </c>
      <c r="F113" s="11" t="s">
        <v>89</v>
      </c>
      <c r="G113" s="11" t="s">
        <v>127</v>
      </c>
      <c r="H113" s="8">
        <v>133.22</v>
      </c>
      <c r="I113" s="8">
        <v>1198.98</v>
      </c>
      <c r="J113" s="9"/>
    </row>
    <row r="114" spans="1:10" x14ac:dyDescent="0.2">
      <c r="A114" s="10" t="s">
        <v>494</v>
      </c>
      <c r="B114" s="6" t="s">
        <v>200</v>
      </c>
      <c r="C114" s="6" t="s">
        <v>41</v>
      </c>
      <c r="D114" s="6">
        <v>6</v>
      </c>
      <c r="E114" s="6" t="s">
        <v>36</v>
      </c>
      <c r="F114" s="6" t="s">
        <v>35</v>
      </c>
      <c r="G114" s="6" t="s">
        <v>127</v>
      </c>
      <c r="H114" s="8">
        <v>2590.2199999999998</v>
      </c>
      <c r="I114" s="8">
        <v>15541.32</v>
      </c>
      <c r="J114" s="9"/>
    </row>
    <row r="115" spans="1:10" x14ac:dyDescent="0.2">
      <c r="A115" s="10" t="s">
        <v>495</v>
      </c>
      <c r="B115" s="11" t="s">
        <v>361</v>
      </c>
      <c r="C115" s="11" t="s">
        <v>289</v>
      </c>
      <c r="D115" s="11">
        <v>1</v>
      </c>
      <c r="E115" s="11" t="s">
        <v>279</v>
      </c>
      <c r="F115" s="11" t="s">
        <v>280</v>
      </c>
      <c r="G115" s="11" t="s">
        <v>127</v>
      </c>
      <c r="H115" s="8">
        <v>11731.36</v>
      </c>
      <c r="I115" s="8">
        <v>11731.36</v>
      </c>
      <c r="J115" s="9"/>
    </row>
    <row r="116" spans="1:10" x14ac:dyDescent="0.2">
      <c r="A116" s="10" t="s">
        <v>496</v>
      </c>
      <c r="B116" s="11" t="s">
        <v>362</v>
      </c>
      <c r="C116" s="11" t="s">
        <v>281</v>
      </c>
      <c r="D116" s="11">
        <v>1</v>
      </c>
      <c r="E116" s="11" t="s">
        <v>279</v>
      </c>
      <c r="F116" s="11" t="s">
        <v>280</v>
      </c>
      <c r="G116" s="11" t="s">
        <v>127</v>
      </c>
      <c r="H116" s="8">
        <v>7270.54</v>
      </c>
      <c r="I116" s="8">
        <v>7270.54</v>
      </c>
      <c r="J116" s="9"/>
    </row>
    <row r="117" spans="1:10" x14ac:dyDescent="0.2">
      <c r="A117" s="10" t="s">
        <v>497</v>
      </c>
      <c r="B117" s="11" t="s">
        <v>363</v>
      </c>
      <c r="C117" s="11" t="s">
        <v>290</v>
      </c>
      <c r="D117" s="11">
        <v>1</v>
      </c>
      <c r="E117" s="11" t="s">
        <v>279</v>
      </c>
      <c r="F117" s="11" t="s">
        <v>280</v>
      </c>
      <c r="G117" s="11" t="s">
        <v>127</v>
      </c>
      <c r="H117" s="8">
        <v>5503.68</v>
      </c>
      <c r="I117" s="8">
        <v>5503.68</v>
      </c>
      <c r="J117" s="9"/>
    </row>
    <row r="118" spans="1:10" x14ac:dyDescent="0.2">
      <c r="A118" s="10" t="s">
        <v>498</v>
      </c>
      <c r="B118" s="11" t="s">
        <v>364</v>
      </c>
      <c r="C118" s="11" t="s">
        <v>283</v>
      </c>
      <c r="D118" s="11">
        <v>1</v>
      </c>
      <c r="E118" s="11" t="s">
        <v>294</v>
      </c>
      <c r="F118" s="11" t="s">
        <v>295</v>
      </c>
      <c r="G118" s="11" t="s">
        <v>127</v>
      </c>
      <c r="H118" s="8">
        <v>9200.1</v>
      </c>
      <c r="I118" s="8">
        <v>9200.1</v>
      </c>
      <c r="J118" s="9"/>
    </row>
    <row r="119" spans="1:10" x14ac:dyDescent="0.2">
      <c r="A119" s="10" t="s">
        <v>499</v>
      </c>
      <c r="B119" s="11" t="s">
        <v>170</v>
      </c>
      <c r="C119" s="11" t="s">
        <v>18</v>
      </c>
      <c r="D119" s="11">
        <v>1</v>
      </c>
      <c r="E119" s="11" t="s">
        <v>17</v>
      </c>
      <c r="F119" s="11" t="s">
        <v>16</v>
      </c>
      <c r="G119" s="11" t="s">
        <v>127</v>
      </c>
      <c r="H119" s="8">
        <v>3193.01</v>
      </c>
      <c r="I119" s="8">
        <v>3193.01</v>
      </c>
      <c r="J119" s="9"/>
    </row>
    <row r="120" spans="1:10" x14ac:dyDescent="0.2">
      <c r="A120" s="10" t="s">
        <v>500</v>
      </c>
      <c r="B120" s="11" t="s">
        <v>207</v>
      </c>
      <c r="C120" s="11" t="s">
        <v>88</v>
      </c>
      <c r="D120" s="11">
        <v>1</v>
      </c>
      <c r="E120" s="11" t="s">
        <v>86</v>
      </c>
      <c r="F120" s="11" t="s">
        <v>85</v>
      </c>
      <c r="G120" s="11" t="s">
        <v>127</v>
      </c>
      <c r="H120" s="8">
        <v>238.06</v>
      </c>
      <c r="I120" s="8">
        <v>238.06</v>
      </c>
      <c r="J120" s="9"/>
    </row>
    <row r="121" spans="1:10" x14ac:dyDescent="0.2">
      <c r="A121" s="10" t="s">
        <v>501</v>
      </c>
      <c r="B121" s="11" t="s">
        <v>366</v>
      </c>
      <c r="C121" s="11" t="s">
        <v>276</v>
      </c>
      <c r="D121" s="11">
        <v>1</v>
      </c>
      <c r="E121" s="11" t="s">
        <v>274</v>
      </c>
      <c r="F121" s="11" t="s">
        <v>275</v>
      </c>
      <c r="G121" s="11" t="s">
        <v>127</v>
      </c>
      <c r="H121" s="8">
        <v>1012.28</v>
      </c>
      <c r="I121" s="8">
        <v>1012.28</v>
      </c>
      <c r="J121" s="9"/>
    </row>
    <row r="122" spans="1:10" x14ac:dyDescent="0.2">
      <c r="A122" s="10" t="s">
        <v>502</v>
      </c>
      <c r="B122" s="11" t="s">
        <v>367</v>
      </c>
      <c r="C122" s="11" t="s">
        <v>255</v>
      </c>
      <c r="D122" s="11">
        <v>7</v>
      </c>
      <c r="E122" s="11"/>
      <c r="F122" s="11" t="s">
        <v>12</v>
      </c>
      <c r="G122" s="11" t="s">
        <v>127</v>
      </c>
      <c r="H122" s="8">
        <v>4173.62</v>
      </c>
      <c r="I122" s="8">
        <v>29215.34</v>
      </c>
      <c r="J122" s="9"/>
    </row>
    <row r="123" spans="1:10" x14ac:dyDescent="0.2">
      <c r="A123" s="10" t="s">
        <v>503</v>
      </c>
      <c r="B123" s="6" t="s">
        <v>166</v>
      </c>
      <c r="C123" s="6" t="s">
        <v>8</v>
      </c>
      <c r="D123" s="6">
        <v>1</v>
      </c>
      <c r="E123" s="6" t="s">
        <v>7</v>
      </c>
      <c r="F123" s="6" t="s">
        <v>6</v>
      </c>
      <c r="G123" s="6" t="s">
        <v>127</v>
      </c>
      <c r="H123" s="8">
        <v>516.52</v>
      </c>
      <c r="I123" s="8">
        <v>516.52</v>
      </c>
      <c r="J123" s="9"/>
    </row>
    <row r="124" spans="1:10" x14ac:dyDescent="0.2">
      <c r="A124" s="10" t="s">
        <v>504</v>
      </c>
      <c r="B124" s="11" t="s">
        <v>203</v>
      </c>
      <c r="C124" s="11" t="s">
        <v>18</v>
      </c>
      <c r="D124" s="11">
        <v>4</v>
      </c>
      <c r="E124" s="11" t="s">
        <v>74</v>
      </c>
      <c r="F124" s="11" t="s">
        <v>73</v>
      </c>
      <c r="G124" s="11" t="s">
        <v>127</v>
      </c>
      <c r="H124" s="8">
        <v>991.54</v>
      </c>
      <c r="I124" s="8">
        <v>3966.16</v>
      </c>
      <c r="J124" s="9"/>
    </row>
    <row r="125" spans="1:10" x14ac:dyDescent="0.2">
      <c r="A125" s="10" t="s">
        <v>505</v>
      </c>
      <c r="B125" s="6" t="s">
        <v>168</v>
      </c>
      <c r="C125" s="6" t="s">
        <v>15</v>
      </c>
      <c r="D125" s="6">
        <v>11</v>
      </c>
      <c r="E125" s="6" t="s">
        <v>13</v>
      </c>
      <c r="F125" s="6" t="s">
        <v>12</v>
      </c>
      <c r="G125" s="6" t="s">
        <v>127</v>
      </c>
      <c r="H125" s="8">
        <v>162.71</v>
      </c>
      <c r="I125" s="8">
        <v>1789.8100000000002</v>
      </c>
      <c r="J125" s="9"/>
    </row>
    <row r="126" spans="1:10" x14ac:dyDescent="0.2">
      <c r="A126" s="10" t="s">
        <v>506</v>
      </c>
      <c r="B126" s="6" t="s">
        <v>212</v>
      </c>
      <c r="C126" s="6" t="s">
        <v>54</v>
      </c>
      <c r="D126" s="6">
        <v>2</v>
      </c>
      <c r="E126" s="6" t="s">
        <v>49</v>
      </c>
      <c r="F126" s="6" t="s">
        <v>48</v>
      </c>
      <c r="G126" s="6" t="s">
        <v>127</v>
      </c>
      <c r="H126" s="8">
        <v>165.98</v>
      </c>
      <c r="I126" s="8">
        <v>331.96</v>
      </c>
      <c r="J126" s="9"/>
    </row>
    <row r="127" spans="1:10" x14ac:dyDescent="0.2">
      <c r="A127" s="10" t="s">
        <v>507</v>
      </c>
      <c r="B127" s="11" t="s">
        <v>189</v>
      </c>
      <c r="C127" s="11" t="s">
        <v>34</v>
      </c>
      <c r="D127" s="11">
        <v>1</v>
      </c>
      <c r="E127" s="11" t="s">
        <v>33</v>
      </c>
      <c r="F127" s="11" t="s">
        <v>32</v>
      </c>
      <c r="G127" s="11" t="s">
        <v>127</v>
      </c>
      <c r="H127" s="8">
        <v>4944.58</v>
      </c>
      <c r="I127" s="8">
        <v>4944.58</v>
      </c>
      <c r="J127" s="9"/>
    </row>
    <row r="128" spans="1:10" x14ac:dyDescent="0.2">
      <c r="A128" s="10" t="s">
        <v>508</v>
      </c>
      <c r="B128" s="11" t="s">
        <v>194</v>
      </c>
      <c r="C128" s="11" t="s">
        <v>106</v>
      </c>
      <c r="D128" s="11">
        <v>6</v>
      </c>
      <c r="E128" s="11" t="s">
        <v>105</v>
      </c>
      <c r="F128" s="11" t="s">
        <v>104</v>
      </c>
      <c r="G128" s="11" t="s">
        <v>127</v>
      </c>
      <c r="H128" s="8">
        <v>422.6</v>
      </c>
      <c r="I128" s="8">
        <v>2535.6000000000004</v>
      </c>
      <c r="J128" s="9"/>
    </row>
    <row r="129" spans="1:10" x14ac:dyDescent="0.2">
      <c r="A129" s="10" t="s">
        <v>509</v>
      </c>
      <c r="B129" s="11" t="s">
        <v>213</v>
      </c>
      <c r="C129" s="11" t="s">
        <v>50</v>
      </c>
      <c r="D129" s="11">
        <v>6</v>
      </c>
      <c r="E129" s="11" t="s">
        <v>49</v>
      </c>
      <c r="F129" s="11" t="s">
        <v>48</v>
      </c>
      <c r="G129" s="11" t="s">
        <v>127</v>
      </c>
      <c r="H129" s="8">
        <v>29.48</v>
      </c>
      <c r="I129" s="8">
        <v>176.88</v>
      </c>
      <c r="J129" s="9"/>
    </row>
    <row r="130" spans="1:10" x14ac:dyDescent="0.2">
      <c r="A130" s="10" t="s">
        <v>510</v>
      </c>
      <c r="B130" s="11" t="s">
        <v>165</v>
      </c>
      <c r="C130" s="11" t="s">
        <v>63</v>
      </c>
      <c r="D130" s="11">
        <v>1</v>
      </c>
      <c r="E130" s="11" t="s">
        <v>61</v>
      </c>
      <c r="F130" s="11" t="s">
        <v>60</v>
      </c>
      <c r="G130" s="11" t="s">
        <v>127</v>
      </c>
      <c r="H130" s="8">
        <v>56.78</v>
      </c>
      <c r="I130" s="8">
        <v>56.78</v>
      </c>
      <c r="J130" s="9"/>
    </row>
    <row r="131" spans="1:10" x14ac:dyDescent="0.2">
      <c r="A131" s="10" t="s">
        <v>511</v>
      </c>
      <c r="B131" s="11" t="s">
        <v>372</v>
      </c>
      <c r="C131" s="11" t="s">
        <v>57</v>
      </c>
      <c r="D131" s="11">
        <v>1</v>
      </c>
      <c r="E131" s="11" t="s">
        <v>274</v>
      </c>
      <c r="F131" s="11" t="s">
        <v>275</v>
      </c>
      <c r="G131" s="11" t="s">
        <v>127</v>
      </c>
      <c r="H131" s="8">
        <v>515.41999999999996</v>
      </c>
      <c r="I131" s="8">
        <v>515.41999999999996</v>
      </c>
      <c r="J131" s="9"/>
    </row>
    <row r="132" spans="1:10" x14ac:dyDescent="0.2">
      <c r="A132" s="10" t="s">
        <v>512</v>
      </c>
      <c r="B132" s="11" t="s">
        <v>190</v>
      </c>
      <c r="C132" s="11" t="s">
        <v>34</v>
      </c>
      <c r="D132" s="11">
        <v>1</v>
      </c>
      <c r="E132" s="11" t="s">
        <v>33</v>
      </c>
      <c r="F132" s="11" t="s">
        <v>32</v>
      </c>
      <c r="G132" s="11" t="s">
        <v>127</v>
      </c>
      <c r="H132" s="8">
        <v>4097.18</v>
      </c>
      <c r="I132" s="8">
        <v>4097.18</v>
      </c>
      <c r="J132" s="9"/>
    </row>
    <row r="133" spans="1:10" x14ac:dyDescent="0.2">
      <c r="A133" s="10" t="s">
        <v>513</v>
      </c>
      <c r="B133" s="11" t="s">
        <v>201</v>
      </c>
      <c r="C133" s="11" t="s">
        <v>37</v>
      </c>
      <c r="D133" s="11">
        <v>6</v>
      </c>
      <c r="E133" s="11" t="s">
        <v>36</v>
      </c>
      <c r="F133" s="11" t="s">
        <v>35</v>
      </c>
      <c r="G133" s="11" t="s">
        <v>127</v>
      </c>
      <c r="H133" s="8">
        <v>2992.08</v>
      </c>
      <c r="I133" s="8">
        <v>17952.48</v>
      </c>
      <c r="J133" s="9"/>
    </row>
    <row r="134" spans="1:10" x14ac:dyDescent="0.2">
      <c r="A134" s="10" t="s">
        <v>514</v>
      </c>
      <c r="B134" s="11" t="s">
        <v>373</v>
      </c>
      <c r="C134" s="11" t="s">
        <v>277</v>
      </c>
      <c r="D134" s="11">
        <v>1</v>
      </c>
      <c r="E134" s="11" t="s">
        <v>274</v>
      </c>
      <c r="F134" s="11" t="s">
        <v>275</v>
      </c>
      <c r="G134" s="11" t="s">
        <v>127</v>
      </c>
      <c r="H134" s="8">
        <v>836.47</v>
      </c>
      <c r="I134" s="8">
        <v>836.47</v>
      </c>
      <c r="J134" s="9"/>
    </row>
    <row r="135" spans="1:10" x14ac:dyDescent="0.2">
      <c r="A135" s="10" t="s">
        <v>515</v>
      </c>
      <c r="B135" s="11" t="s">
        <v>208</v>
      </c>
      <c r="C135" s="11" t="s">
        <v>47</v>
      </c>
      <c r="D135" s="11">
        <v>1</v>
      </c>
      <c r="E135" s="11" t="s">
        <v>46</v>
      </c>
      <c r="F135" s="11" t="s">
        <v>45</v>
      </c>
      <c r="G135" s="11" t="s">
        <v>127</v>
      </c>
      <c r="H135" s="8">
        <v>5560.46</v>
      </c>
      <c r="I135" s="8">
        <v>5560.46</v>
      </c>
      <c r="J135" s="9"/>
    </row>
    <row r="136" spans="1:10" x14ac:dyDescent="0.2">
      <c r="A136" s="10" t="s">
        <v>516</v>
      </c>
      <c r="B136" s="6" t="s">
        <v>123</v>
      </c>
      <c r="C136" s="6" t="s">
        <v>124</v>
      </c>
      <c r="D136" s="6">
        <v>35</v>
      </c>
      <c r="E136" s="6"/>
      <c r="F136" s="6"/>
      <c r="G136" s="6" t="s">
        <v>125</v>
      </c>
      <c r="H136" s="8">
        <v>235</v>
      </c>
      <c r="I136" s="8">
        <v>8225</v>
      </c>
      <c r="J136" s="9"/>
    </row>
    <row r="137" spans="1:10" x14ac:dyDescent="0.2">
      <c r="A137" s="10" t="s">
        <v>517</v>
      </c>
      <c r="B137" s="11" t="s">
        <v>308</v>
      </c>
      <c r="C137" s="11" t="s">
        <v>242</v>
      </c>
      <c r="D137" s="11">
        <v>1</v>
      </c>
      <c r="E137" s="11" t="s">
        <v>240</v>
      </c>
      <c r="F137" s="11" t="s">
        <v>73</v>
      </c>
      <c r="G137" s="11" t="s">
        <v>378</v>
      </c>
      <c r="H137" s="8">
        <v>84.08</v>
      </c>
      <c r="I137" s="8">
        <v>84.08</v>
      </c>
      <c r="J137" s="9"/>
    </row>
    <row r="138" spans="1:10" x14ac:dyDescent="0.2">
      <c r="A138" s="10" t="s">
        <v>518</v>
      </c>
      <c r="B138" s="11" t="s">
        <v>309</v>
      </c>
      <c r="C138" s="11" t="s">
        <v>248</v>
      </c>
      <c r="D138" s="11">
        <v>3</v>
      </c>
      <c r="E138" s="11" t="s">
        <v>72</v>
      </c>
      <c r="F138" s="11" t="s">
        <v>71</v>
      </c>
      <c r="G138" s="11" t="s">
        <v>378</v>
      </c>
      <c r="H138" s="8">
        <v>45.86</v>
      </c>
      <c r="I138" s="8">
        <v>137.57999999999998</v>
      </c>
      <c r="J138" s="9"/>
    </row>
    <row r="139" spans="1:10" x14ac:dyDescent="0.2">
      <c r="A139" s="10" t="s">
        <v>519</v>
      </c>
      <c r="B139" s="11" t="s">
        <v>310</v>
      </c>
      <c r="C139" s="11" t="s">
        <v>223</v>
      </c>
      <c r="D139" s="11">
        <v>6</v>
      </c>
      <c r="E139" s="11" t="s">
        <v>224</v>
      </c>
      <c r="F139" s="11" t="s">
        <v>225</v>
      </c>
      <c r="G139" s="11" t="s">
        <v>378</v>
      </c>
      <c r="H139" s="8">
        <v>26.21</v>
      </c>
      <c r="I139" s="8">
        <v>157.26</v>
      </c>
      <c r="J139" s="9"/>
    </row>
    <row r="140" spans="1:10" x14ac:dyDescent="0.2">
      <c r="A140" s="10" t="s">
        <v>520</v>
      </c>
      <c r="B140" s="11" t="s">
        <v>311</v>
      </c>
      <c r="C140" s="11" t="s">
        <v>246</v>
      </c>
      <c r="D140" s="11">
        <v>1</v>
      </c>
      <c r="E140" s="11" t="s">
        <v>245</v>
      </c>
      <c r="F140" s="11" t="s">
        <v>73</v>
      </c>
      <c r="G140" s="11" t="s">
        <v>378</v>
      </c>
      <c r="H140" s="8">
        <v>121.21</v>
      </c>
      <c r="I140" s="8">
        <v>121.21</v>
      </c>
      <c r="J140" s="9"/>
    </row>
    <row r="141" spans="1:10" x14ac:dyDescent="0.2">
      <c r="A141" s="10" t="s">
        <v>521</v>
      </c>
      <c r="B141" s="11" t="s">
        <v>312</v>
      </c>
      <c r="C141" s="11" t="s">
        <v>249</v>
      </c>
      <c r="D141" s="11">
        <v>2</v>
      </c>
      <c r="E141" s="11" t="s">
        <v>72</v>
      </c>
      <c r="F141" s="11" t="s">
        <v>71</v>
      </c>
      <c r="G141" s="11" t="s">
        <v>378</v>
      </c>
      <c r="H141" s="8">
        <v>31.67</v>
      </c>
      <c r="I141" s="8">
        <v>63.34</v>
      </c>
      <c r="J141" s="9"/>
    </row>
    <row r="142" spans="1:10" x14ac:dyDescent="0.2">
      <c r="A142" s="10" t="s">
        <v>522</v>
      </c>
      <c r="B142" s="11" t="s">
        <v>313</v>
      </c>
      <c r="C142" s="11" t="s">
        <v>215</v>
      </c>
      <c r="D142" s="11">
        <v>2</v>
      </c>
      <c r="E142" s="11" t="s">
        <v>216</v>
      </c>
      <c r="F142" s="11" t="s">
        <v>217</v>
      </c>
      <c r="G142" s="11" t="s">
        <v>378</v>
      </c>
      <c r="H142" s="8">
        <v>51.32</v>
      </c>
      <c r="I142" s="8">
        <v>102.64</v>
      </c>
      <c r="J142" s="9"/>
    </row>
    <row r="143" spans="1:10" x14ac:dyDescent="0.2">
      <c r="A143" s="10" t="s">
        <v>523</v>
      </c>
      <c r="B143" s="11" t="s">
        <v>314</v>
      </c>
      <c r="C143" s="11" t="s">
        <v>306</v>
      </c>
      <c r="D143" s="11">
        <v>1</v>
      </c>
      <c r="E143" s="24" t="s">
        <v>90</v>
      </c>
      <c r="F143" s="11" t="s">
        <v>89</v>
      </c>
      <c r="G143" s="11" t="s">
        <v>378</v>
      </c>
      <c r="H143" s="8">
        <v>1357.36</v>
      </c>
      <c r="I143" s="8">
        <v>1357.36</v>
      </c>
      <c r="J143" s="9"/>
    </row>
    <row r="144" spans="1:10" x14ac:dyDescent="0.2">
      <c r="A144" s="10" t="s">
        <v>524</v>
      </c>
      <c r="B144" s="11" t="s">
        <v>315</v>
      </c>
      <c r="C144" s="11" t="s">
        <v>243</v>
      </c>
      <c r="D144" s="11">
        <v>1</v>
      </c>
      <c r="E144" s="11" t="s">
        <v>240</v>
      </c>
      <c r="F144" s="11" t="s">
        <v>73</v>
      </c>
      <c r="G144" s="11" t="s">
        <v>378</v>
      </c>
      <c r="H144" s="8">
        <v>226.04</v>
      </c>
      <c r="I144" s="8">
        <v>226.04</v>
      </c>
      <c r="J144" s="9"/>
    </row>
    <row r="145" spans="1:10" x14ac:dyDescent="0.2">
      <c r="A145" s="10" t="s">
        <v>525</v>
      </c>
      <c r="B145" s="11" t="s">
        <v>316</v>
      </c>
      <c r="C145" s="11" t="s">
        <v>223</v>
      </c>
      <c r="D145" s="11">
        <v>3</v>
      </c>
      <c r="E145" s="11" t="s">
        <v>105</v>
      </c>
      <c r="F145" s="11" t="s">
        <v>104</v>
      </c>
      <c r="G145" s="11" t="s">
        <v>378</v>
      </c>
      <c r="H145" s="8">
        <v>241.33</v>
      </c>
      <c r="I145" s="8">
        <v>723.99</v>
      </c>
      <c r="J145" s="9"/>
    </row>
    <row r="146" spans="1:10" x14ac:dyDescent="0.2">
      <c r="A146" s="10" t="s">
        <v>526</v>
      </c>
      <c r="B146" s="11" t="s">
        <v>320</v>
      </c>
      <c r="C146" s="11" t="s">
        <v>221</v>
      </c>
      <c r="D146" s="11">
        <v>1</v>
      </c>
      <c r="E146" s="11" t="s">
        <v>216</v>
      </c>
      <c r="F146" s="11" t="s">
        <v>217</v>
      </c>
      <c r="G146" s="11" t="s">
        <v>378</v>
      </c>
      <c r="H146" s="8">
        <v>17.47</v>
      </c>
      <c r="I146" s="8">
        <v>17.47</v>
      </c>
      <c r="J146" s="9"/>
    </row>
    <row r="147" spans="1:10" x14ac:dyDescent="0.2">
      <c r="A147" s="10" t="s">
        <v>527</v>
      </c>
      <c r="B147" s="11" t="s">
        <v>322</v>
      </c>
      <c r="C147" s="11" t="s">
        <v>220</v>
      </c>
      <c r="D147" s="11">
        <v>1</v>
      </c>
      <c r="E147" s="11" t="s">
        <v>216</v>
      </c>
      <c r="F147" s="11" t="s">
        <v>217</v>
      </c>
      <c r="G147" s="11" t="s">
        <v>378</v>
      </c>
      <c r="H147" s="8">
        <v>21903.34</v>
      </c>
      <c r="I147" s="8">
        <v>21903.34</v>
      </c>
      <c r="J147" s="9"/>
    </row>
    <row r="148" spans="1:10" x14ac:dyDescent="0.2">
      <c r="A148" s="10" t="s">
        <v>528</v>
      </c>
      <c r="B148" s="11" t="s">
        <v>325</v>
      </c>
      <c r="C148" s="11" t="s">
        <v>244</v>
      </c>
      <c r="D148" s="11">
        <v>2</v>
      </c>
      <c r="E148" s="11" t="s">
        <v>245</v>
      </c>
      <c r="F148" s="11" t="s">
        <v>73</v>
      </c>
      <c r="G148" s="11" t="s">
        <v>378</v>
      </c>
      <c r="H148" s="8">
        <v>61.15</v>
      </c>
      <c r="I148" s="8">
        <v>122.3</v>
      </c>
      <c r="J148" s="9"/>
    </row>
    <row r="149" spans="1:10" x14ac:dyDescent="0.2">
      <c r="A149" s="10" t="s">
        <v>529</v>
      </c>
      <c r="B149" s="11" t="s">
        <v>329</v>
      </c>
      <c r="C149" s="11" t="s">
        <v>229</v>
      </c>
      <c r="D149" s="11">
        <v>1</v>
      </c>
      <c r="E149" s="11" t="s">
        <v>69</v>
      </c>
      <c r="F149" s="11" t="s">
        <v>68</v>
      </c>
      <c r="G149" s="11" t="s">
        <v>378</v>
      </c>
      <c r="H149" s="8">
        <v>121.21</v>
      </c>
      <c r="I149" s="8">
        <v>121.21</v>
      </c>
      <c r="J149" s="9"/>
    </row>
    <row r="150" spans="1:10" x14ac:dyDescent="0.2">
      <c r="A150" s="10" t="s">
        <v>530</v>
      </c>
      <c r="B150" s="12" t="s">
        <v>332</v>
      </c>
      <c r="C150" s="12" t="s">
        <v>241</v>
      </c>
      <c r="D150" s="12">
        <v>1</v>
      </c>
      <c r="E150" s="12" t="s">
        <v>240</v>
      </c>
      <c r="F150" s="12" t="s">
        <v>73</v>
      </c>
      <c r="G150" s="12" t="s">
        <v>378</v>
      </c>
      <c r="H150" s="13">
        <v>28550.34</v>
      </c>
      <c r="I150" s="13">
        <v>0</v>
      </c>
      <c r="J150" s="26" t="s">
        <v>380</v>
      </c>
    </row>
    <row r="151" spans="1:10" x14ac:dyDescent="0.2">
      <c r="A151" s="10" t="s">
        <v>531</v>
      </c>
      <c r="B151" s="11" t="s">
        <v>338</v>
      </c>
      <c r="C151" s="11" t="s">
        <v>222</v>
      </c>
      <c r="D151" s="11">
        <v>2</v>
      </c>
      <c r="E151" s="11" t="s">
        <v>216</v>
      </c>
      <c r="F151" s="11" t="s">
        <v>217</v>
      </c>
      <c r="G151" s="11" t="s">
        <v>378</v>
      </c>
      <c r="H151" s="8">
        <v>36.04</v>
      </c>
      <c r="I151" s="8">
        <v>72.08</v>
      </c>
      <c r="J151" s="9"/>
    </row>
    <row r="152" spans="1:10" x14ac:dyDescent="0.2">
      <c r="A152" s="10" t="s">
        <v>532</v>
      </c>
      <c r="B152" s="11" t="s">
        <v>339</v>
      </c>
      <c r="C152" s="11" t="s">
        <v>230</v>
      </c>
      <c r="D152" s="11">
        <v>1</v>
      </c>
      <c r="E152" s="11" t="s">
        <v>69</v>
      </c>
      <c r="F152" s="11" t="s">
        <v>68</v>
      </c>
      <c r="G152" s="11" t="s">
        <v>378</v>
      </c>
      <c r="H152" s="8">
        <v>60.06</v>
      </c>
      <c r="I152" s="8">
        <v>60.06</v>
      </c>
      <c r="J152" s="9"/>
    </row>
    <row r="153" spans="1:10" x14ac:dyDescent="0.2">
      <c r="A153" s="10" t="s">
        <v>533</v>
      </c>
      <c r="B153" s="11" t="s">
        <v>340</v>
      </c>
      <c r="C153" s="11" t="s">
        <v>228</v>
      </c>
      <c r="D153" s="11">
        <v>1</v>
      </c>
      <c r="E153" s="11" t="s">
        <v>69</v>
      </c>
      <c r="F153" s="11" t="s">
        <v>68</v>
      </c>
      <c r="G153" s="11" t="s">
        <v>378</v>
      </c>
      <c r="H153" s="23">
        <v>956.59</v>
      </c>
      <c r="I153" s="8">
        <v>956.59</v>
      </c>
      <c r="J153" s="9"/>
    </row>
    <row r="154" spans="1:10" x14ac:dyDescent="0.2">
      <c r="A154" s="10" t="s">
        <v>534</v>
      </c>
      <c r="B154" s="11" t="s">
        <v>342</v>
      </c>
      <c r="C154" s="11" t="s">
        <v>306</v>
      </c>
      <c r="D154" s="11">
        <v>1</v>
      </c>
      <c r="E154" s="24" t="s">
        <v>90</v>
      </c>
      <c r="F154" s="11" t="s">
        <v>89</v>
      </c>
      <c r="G154" s="11" t="s">
        <v>378</v>
      </c>
      <c r="H154" s="8">
        <v>755.66</v>
      </c>
      <c r="I154" s="8">
        <v>755.66</v>
      </c>
      <c r="J154" s="9"/>
    </row>
    <row r="155" spans="1:10" x14ac:dyDescent="0.2">
      <c r="A155" s="10" t="s">
        <v>535</v>
      </c>
      <c r="B155" s="12" t="s">
        <v>343</v>
      </c>
      <c r="C155" s="12" t="s">
        <v>73</v>
      </c>
      <c r="D155" s="12">
        <v>1</v>
      </c>
      <c r="E155" s="12" t="s">
        <v>240</v>
      </c>
      <c r="F155" s="12" t="s">
        <v>73</v>
      </c>
      <c r="G155" s="12" t="s">
        <v>378</v>
      </c>
      <c r="H155" s="13">
        <v>204590.57</v>
      </c>
      <c r="I155" s="13">
        <v>0</v>
      </c>
      <c r="J155" s="9"/>
    </row>
    <row r="156" spans="1:10" s="28" customFormat="1" x14ac:dyDescent="0.2">
      <c r="A156" s="10" t="s">
        <v>536</v>
      </c>
      <c r="B156" s="6" t="s">
        <v>546</v>
      </c>
      <c r="C156" s="6" t="s">
        <v>381</v>
      </c>
      <c r="D156" s="6">
        <v>1</v>
      </c>
      <c r="E156" s="6" t="s">
        <v>240</v>
      </c>
      <c r="F156" s="6" t="s">
        <v>73</v>
      </c>
      <c r="G156" s="6" t="s">
        <v>378</v>
      </c>
      <c r="H156" s="23">
        <v>33159.67</v>
      </c>
      <c r="I156" s="23">
        <f>H156*D156</f>
        <v>33159.67</v>
      </c>
      <c r="J156" s="27"/>
    </row>
    <row r="157" spans="1:10" s="28" customFormat="1" x14ac:dyDescent="0.2">
      <c r="A157" s="10" t="s">
        <v>537</v>
      </c>
      <c r="B157" s="6" t="s">
        <v>338</v>
      </c>
      <c r="C157" s="6" t="s">
        <v>382</v>
      </c>
      <c r="D157" s="6">
        <v>4</v>
      </c>
      <c r="E157" s="6" t="s">
        <v>240</v>
      </c>
      <c r="F157" s="6" t="s">
        <v>73</v>
      </c>
      <c r="G157" s="6" t="s">
        <v>378</v>
      </c>
      <c r="H157" s="8">
        <v>36.04</v>
      </c>
      <c r="I157" s="23">
        <f t="shared" ref="I157:I158" si="0">H157*D157</f>
        <v>144.16</v>
      </c>
      <c r="J157" s="27"/>
    </row>
    <row r="158" spans="1:10" s="28" customFormat="1" x14ac:dyDescent="0.2">
      <c r="A158" s="10" t="s">
        <v>538</v>
      </c>
      <c r="B158" s="6" t="s">
        <v>368</v>
      </c>
      <c r="C158" s="6" t="s">
        <v>383</v>
      </c>
      <c r="D158" s="6">
        <v>1</v>
      </c>
      <c r="E158" s="6" t="s">
        <v>240</v>
      </c>
      <c r="F158" s="6" t="s">
        <v>73</v>
      </c>
      <c r="G158" s="6" t="s">
        <v>378</v>
      </c>
      <c r="H158" s="23">
        <v>365.82</v>
      </c>
      <c r="I158" s="23">
        <f t="shared" si="0"/>
        <v>365.82</v>
      </c>
      <c r="J158" s="27"/>
    </row>
    <row r="159" spans="1:10" x14ac:dyDescent="0.2">
      <c r="A159" s="10" t="s">
        <v>539</v>
      </c>
      <c r="B159" s="11" t="s">
        <v>345</v>
      </c>
      <c r="C159" s="11" t="s">
        <v>219</v>
      </c>
      <c r="D159" s="11">
        <v>1</v>
      </c>
      <c r="E159" s="11" t="s">
        <v>216</v>
      </c>
      <c r="F159" s="11" t="s">
        <v>217</v>
      </c>
      <c r="G159" s="11" t="s">
        <v>378</v>
      </c>
      <c r="H159" s="8">
        <v>1197.92</v>
      </c>
      <c r="I159" s="8">
        <v>1197.92</v>
      </c>
      <c r="J159" s="9"/>
    </row>
    <row r="160" spans="1:10" x14ac:dyDescent="0.2">
      <c r="A160" s="10" t="s">
        <v>540</v>
      </c>
      <c r="B160" s="24" t="s">
        <v>354</v>
      </c>
      <c r="C160" s="11" t="s">
        <v>305</v>
      </c>
      <c r="D160" s="11">
        <v>1</v>
      </c>
      <c r="E160" s="24" t="s">
        <v>90</v>
      </c>
      <c r="F160" s="11" t="s">
        <v>89</v>
      </c>
      <c r="G160" s="11" t="s">
        <v>378</v>
      </c>
      <c r="H160" s="8">
        <v>6677.58</v>
      </c>
      <c r="I160" s="8">
        <v>6677.58</v>
      </c>
      <c r="J160" s="9"/>
    </row>
    <row r="161" spans="1:10" x14ac:dyDescent="0.2">
      <c r="A161" s="10" t="s">
        <v>541</v>
      </c>
      <c r="B161" s="12" t="s">
        <v>359</v>
      </c>
      <c r="C161" s="12" t="s">
        <v>250</v>
      </c>
      <c r="D161" s="12">
        <v>1</v>
      </c>
      <c r="E161" s="12" t="s">
        <v>72</v>
      </c>
      <c r="F161" s="12" t="s">
        <v>71</v>
      </c>
      <c r="G161" s="12" t="s">
        <v>378</v>
      </c>
      <c r="H161" s="13">
        <v>13568.1</v>
      </c>
      <c r="I161" s="13">
        <v>0</v>
      </c>
      <c r="J161" s="26" t="s">
        <v>380</v>
      </c>
    </row>
    <row r="162" spans="1:10" x14ac:dyDescent="0.2">
      <c r="A162" s="10" t="s">
        <v>542</v>
      </c>
      <c r="B162" s="11" t="s">
        <v>365</v>
      </c>
      <c r="C162" s="11" t="s">
        <v>247</v>
      </c>
      <c r="D162" s="11">
        <v>3</v>
      </c>
      <c r="E162" s="11" t="s">
        <v>105</v>
      </c>
      <c r="F162" s="11" t="s">
        <v>104</v>
      </c>
      <c r="G162" s="11" t="s">
        <v>378</v>
      </c>
      <c r="H162" s="8">
        <v>1710.07</v>
      </c>
      <c r="I162" s="8">
        <v>5130.21</v>
      </c>
      <c r="J162" s="9"/>
    </row>
    <row r="163" spans="1:10" x14ac:dyDescent="0.2">
      <c r="A163" s="10" t="s">
        <v>543</v>
      </c>
      <c r="B163" s="11" t="s">
        <v>368</v>
      </c>
      <c r="C163" s="11" t="s">
        <v>251</v>
      </c>
      <c r="D163" s="11">
        <v>1</v>
      </c>
      <c r="E163" s="11" t="s">
        <v>72</v>
      </c>
      <c r="F163" s="11" t="s">
        <v>71</v>
      </c>
      <c r="G163" s="11" t="s">
        <v>378</v>
      </c>
      <c r="H163" s="8">
        <v>365.82</v>
      </c>
      <c r="I163" s="8">
        <v>365.82</v>
      </c>
      <c r="J163" s="9"/>
    </row>
    <row r="164" spans="1:10" x14ac:dyDescent="0.2">
      <c r="A164" s="10" t="s">
        <v>544</v>
      </c>
      <c r="B164" s="11" t="s">
        <v>369</v>
      </c>
      <c r="C164" s="11" t="s">
        <v>226</v>
      </c>
      <c r="D164" s="11">
        <v>6</v>
      </c>
      <c r="E164" s="11" t="s">
        <v>224</v>
      </c>
      <c r="F164" s="11" t="s">
        <v>225</v>
      </c>
      <c r="G164" s="11" t="s">
        <v>378</v>
      </c>
      <c r="H164" s="8">
        <v>30.58</v>
      </c>
      <c r="I164" s="8">
        <v>183.48</v>
      </c>
      <c r="J164" s="9"/>
    </row>
    <row r="165" spans="1:10" x14ac:dyDescent="0.2">
      <c r="A165" s="10" t="s">
        <v>545</v>
      </c>
      <c r="B165" s="11" t="s">
        <v>371</v>
      </c>
      <c r="C165" s="11" t="s">
        <v>218</v>
      </c>
      <c r="D165" s="11">
        <v>1</v>
      </c>
      <c r="E165" s="11" t="s">
        <v>216</v>
      </c>
      <c r="F165" s="11" t="s">
        <v>217</v>
      </c>
      <c r="G165" s="11" t="s">
        <v>378</v>
      </c>
      <c r="H165" s="8">
        <v>63.34</v>
      </c>
      <c r="I165" s="8">
        <v>63.34</v>
      </c>
      <c r="J165" s="9"/>
    </row>
    <row r="166" spans="1:10" ht="18.75" customHeight="1" x14ac:dyDescent="0.2">
      <c r="I166" s="8">
        <f>SUM(I5:I165)</f>
        <v>1230246.8000000007</v>
      </c>
    </row>
  </sheetData>
  <mergeCells count="4">
    <mergeCell ref="A1:I1"/>
    <mergeCell ref="A2:I2"/>
    <mergeCell ref="A3:I3"/>
    <mergeCell ref="J10:J23"/>
  </mergeCells>
  <conditionalFormatting sqref="B4">
    <cfRule type="duplicateValues" dxfId="10" priority="10"/>
    <cfRule type="duplicateValues" dxfId="9" priority="11"/>
  </conditionalFormatting>
  <conditionalFormatting sqref="B25:B26 B5:B23">
    <cfRule type="duplicateValues" dxfId="8" priority="7"/>
    <cfRule type="duplicateValues" dxfId="7" priority="8"/>
  </conditionalFormatting>
  <conditionalFormatting sqref="B5:B26">
    <cfRule type="duplicateValues" dxfId="6" priority="9"/>
  </conditionalFormatting>
  <conditionalFormatting sqref="B125:B136 B27:B107">
    <cfRule type="duplicateValues" dxfId="5" priority="4"/>
    <cfRule type="duplicateValues" dxfId="4" priority="5"/>
  </conditionalFormatting>
  <conditionalFormatting sqref="B27:B136">
    <cfRule type="duplicateValues" dxfId="3" priority="6"/>
  </conditionalFormatting>
  <conditionalFormatting sqref="B164:B165 B137:B160">
    <cfRule type="duplicateValues" dxfId="2" priority="1"/>
    <cfRule type="duplicateValues" dxfId="1" priority="2"/>
  </conditionalFormatting>
  <conditionalFormatting sqref="B137:B165">
    <cfRule type="duplicateValues" dxfId="0" priority="31"/>
  </conditionalFormatting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TIPL</dc:creator>
  <cp:lastModifiedBy>Admin</cp:lastModifiedBy>
  <cp:lastPrinted>2020-08-18T08:01:24Z</cp:lastPrinted>
  <dcterms:created xsi:type="dcterms:W3CDTF">2017-10-13T10:58:11Z</dcterms:created>
  <dcterms:modified xsi:type="dcterms:W3CDTF">2020-08-18T10:31:22Z</dcterms:modified>
</cp:coreProperties>
</file>