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J46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H6" i="1"/>
  <c r="H46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</calcChain>
</file>

<file path=xl/sharedStrings.xml><?xml version="1.0" encoding="utf-8"?>
<sst xmlns="http://schemas.openxmlformats.org/spreadsheetml/2006/main" count="135" uniqueCount="90">
  <si>
    <t>SL NO</t>
  </si>
  <si>
    <t>PARTNO</t>
  </si>
  <si>
    <t>PARTNAME</t>
  </si>
  <si>
    <t>QTY</t>
  </si>
  <si>
    <t>REMARKS</t>
  </si>
  <si>
    <t>CAT-1964000</t>
  </si>
  <si>
    <t>BEARING  KIT</t>
  </si>
  <si>
    <t>MANDATORY</t>
  </si>
  <si>
    <t>CAT- 6V0852</t>
  </si>
  <si>
    <t>CAP DUST</t>
  </si>
  <si>
    <t>DISCFRICTION</t>
  </si>
  <si>
    <t>CAT- 6I8911</t>
  </si>
  <si>
    <t>CAT- 6I8912</t>
  </si>
  <si>
    <t>CAT- 6Y5352</t>
  </si>
  <si>
    <t>CAT- 6Y7981</t>
  </si>
  <si>
    <t>CAT-2818870</t>
  </si>
  <si>
    <t>GASKET  KIT</t>
  </si>
  <si>
    <t>HARNESS AS TRANSMISSION</t>
  </si>
  <si>
    <t>TESTING FACILITY NOT PRESENT IN CRC</t>
  </si>
  <si>
    <t>CAT-2266621</t>
  </si>
  <si>
    <t>HARNESS ASSENSOR (SPEED)</t>
  </si>
  <si>
    <t>FUNCTIONAL TEST</t>
  </si>
  <si>
    <t>CAT- 7T4515</t>
  </si>
  <si>
    <t>KIT SEAL</t>
  </si>
  <si>
    <t>CAT-1105161</t>
  </si>
  <si>
    <t>MANIFOLD</t>
  </si>
  <si>
    <t>CAT- 3P0337</t>
  </si>
  <si>
    <t>PLATE</t>
  </si>
  <si>
    <t>EXPECTED DAMAGE</t>
  </si>
  <si>
    <t>CAT- 6I9502</t>
  </si>
  <si>
    <t>CAT-1546306</t>
  </si>
  <si>
    <t>CAT-1546307</t>
  </si>
  <si>
    <t>CAT-1421767</t>
  </si>
  <si>
    <t>POPPET</t>
  </si>
  <si>
    <t>CAT- 6Y8764</t>
  </si>
  <si>
    <t>PUMP GPGEAR (TRANSMISSION)</t>
  </si>
  <si>
    <t>CAT- 4D1322</t>
  </si>
  <si>
    <t>RINGRETAINING</t>
  </si>
  <si>
    <t>CAT- 6Y1890</t>
  </si>
  <si>
    <t>CAT- 9W7038</t>
  </si>
  <si>
    <t>RINGSNAP</t>
  </si>
  <si>
    <t>CAT- 6I9395</t>
  </si>
  <si>
    <t>SCREEN</t>
  </si>
  <si>
    <t>CAT- 5C7423</t>
  </si>
  <si>
    <t>SCREW (M6X1X16MM)</t>
  </si>
  <si>
    <t>CAT- 5K9090</t>
  </si>
  <si>
    <t>SEAL O RING</t>
  </si>
  <si>
    <t>CAT- 9X7384</t>
  </si>
  <si>
    <t>CAT-2905792</t>
  </si>
  <si>
    <t>SENSOR GPSPEED (TRANSMISSION OUTPUT)</t>
  </si>
  <si>
    <t>CAT- 3E8700</t>
  </si>
  <si>
    <t>SENSOR GPTEMPERATURE (TRANSMISSION OIL)</t>
  </si>
  <si>
    <t>CAT- 3J6956</t>
  </si>
  <si>
    <t>SPRING</t>
  </si>
  <si>
    <t>CAT- 8M4295</t>
  </si>
  <si>
    <t>CAT- 9U8815</t>
  </si>
  <si>
    <t>CAT- 9W4430</t>
  </si>
  <si>
    <t>CAT- 9W4431</t>
  </si>
  <si>
    <t>CAT-1025881</t>
  </si>
  <si>
    <t>SPRING WAVE</t>
  </si>
  <si>
    <t>CAT-1841130</t>
  </si>
  <si>
    <t>VALVE GPSELECTOR &amp;amp; PRESS CONT (DIRECTION, RANGE, TRANSMISSION)</t>
  </si>
  <si>
    <t>BENT/ DAMAGE</t>
  </si>
  <si>
    <t>BURNT/ DAMAGE</t>
  </si>
  <si>
    <t>CAT- 7G0437</t>
  </si>
  <si>
    <t>PLATE CLUTCH</t>
  </si>
  <si>
    <t>DAMAGE</t>
  </si>
  <si>
    <t>CAT-1329625</t>
  </si>
  <si>
    <t>GEAR AS (50 TEETH)</t>
  </si>
  <si>
    <t>CAT- 6Y0590</t>
  </si>
  <si>
    <t>GEAR (38 TEETH)</t>
  </si>
  <si>
    <t>CAT- 6Y0591</t>
  </si>
  <si>
    <t>GEAR (45 TEETH)</t>
  </si>
  <si>
    <t>CAT- 8S9130</t>
  </si>
  <si>
    <t>SCREEN-SUCTION</t>
  </si>
  <si>
    <t>MISSING</t>
  </si>
  <si>
    <t>CAT- 8S9129</t>
  </si>
  <si>
    <t>FITER-MAGNETIC</t>
  </si>
  <si>
    <t>CAT- 9U9995</t>
  </si>
  <si>
    <t>CUSTOMER: ANSH DEAL TRADE PVT.LTD</t>
  </si>
  <si>
    <t>SL NO: CK403940</t>
  </si>
  <si>
    <t>JOB NO: 5500006099</t>
  </si>
  <si>
    <t>COMPONENT: 120K2 TRANSMISSION</t>
  </si>
  <si>
    <t>CAT-2139842</t>
  </si>
  <si>
    <t>OLD PART NO</t>
  </si>
  <si>
    <t>CAT-1271960</t>
  </si>
  <si>
    <t>UNIT COST</t>
  </si>
  <si>
    <t>EXTN COST</t>
  </si>
  <si>
    <t>UNIT SALE</t>
  </si>
  <si>
    <t>EXTN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</si>
</sst>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0" fillId="2" borderId="1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11" fontId="0" fillId="2" borderId="3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2" borderId="8" xfId="0" applyFont="1" applyFill="1" applyBorder="1"/>
    <xf numFmtId="0" fontId="3" fillId="2" borderId="1" xfId="0" applyFont="1" applyFill="1" applyBorder="1"/>
    <xf numFmtId="2" fontId="0" fillId="2" borderId="1" xfId="0" applyNumberFormat="1" applyFill="1" applyBorder="1"/>
    <xf numFmtId="2" fontId="0" fillId="0" borderId="1" xfId="0" applyNumberFormat="1" applyBorder="1"/>
    <xf numFmtId="0" fontId="0" fillId="2" borderId="6" xfId="0" applyFill="1" applyBorder="1" applyAlignment="1">
      <alignment horizontal="center"/>
    </xf>
    <xf numFmtId="2" fontId="0" fillId="0" borderId="6" xfId="0" applyNumberFormat="1" applyBorder="1"/>
  </cellXfs>
  <cellStyles count="1">
    <cellStyle name="Normal" xfId="0" builtinId="0"/>
  </cellStyles>
  <dxfs count="23"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5:J46" totalsRowCount="1" headerRowDxfId="22" headerRowBorderDxfId="21" tableBorderDxfId="20">
  <sortState ref="B6:F45">
    <sortCondition ref="D5:D45"/>
  </sortState>
  <tableColumns count="9">
    <tableColumn id="9" name="PARTNO" dataDxfId="19" totalsRowDxfId="8"/>
    <tableColumn id="1" name="OLD PART NO" dataDxfId="16" totalsRowDxfId="7"/>
    <tableColumn id="10" name="PARTNAME" dataDxfId="18" totalsRowDxfId="6"/>
    <tableColumn id="12" name="QTY" dataDxfId="17" totalsRowDxfId="5"/>
    <tableColumn id="21" name="REMARKS" dataDxfId="13" totalsRowDxfId="4"/>
    <tableColumn id="2" name="UNIT COST" dataDxfId="12" totalsRowDxfId="3"/>
    <tableColumn id="3" name="EXTN COST" totalsRowFunction="sum" dataDxfId="11" totalsRowDxfId="2">
      <calculatedColumnFormula>Table1[[#This Row],[UNIT COST]]*Table1[[#This Row],[QTY]]</calculatedColumnFormula>
    </tableColumn>
    <tableColumn id="4" name="UNIT SALE" dataDxfId="10" totalsRowDxfId="1"/>
    <tableColumn id="5" name="EXTN SALE" totalsRowFunction="sum" dataDxfId="9" totalsRowDxfId="0">
      <calculatedColumnFormula>Table1[[#This Row],[UNIT SALE]]*Table1[[#This Row],[QTY]]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topLeftCell="A31" workbookViewId="0">
      <selection activeCell="I50" sqref="I50"/>
    </sheetView>
  </sheetViews>
  <sheetFormatPr defaultRowHeight="15" x14ac:dyDescent="0.25"/>
  <cols>
    <col min="1" max="1" width="6.140625" bestFit="1" customWidth="1"/>
    <col min="2" max="2" width="12.5703125" style="13" bestFit="1" customWidth="1"/>
    <col min="3" max="3" width="12.5703125" style="13" customWidth="1"/>
    <col min="4" max="4" width="71.5703125" customWidth="1"/>
    <col min="5" max="5" width="6.5703125" bestFit="1" customWidth="1"/>
    <col min="6" max="6" width="35.7109375" bestFit="1" customWidth="1"/>
    <col min="7" max="7" width="10.42578125" bestFit="1" customWidth="1"/>
    <col min="8" max="8" width="10.5703125" bestFit="1" customWidth="1"/>
    <col min="9" max="9" width="10" bestFit="1" customWidth="1"/>
    <col min="10" max="10" width="10.5703125" bestFit="1" customWidth="1"/>
  </cols>
  <sheetData>
    <row r="1" spans="1:10" ht="18.75" x14ac:dyDescent="0.3">
      <c r="A1" s="15" t="s">
        <v>79</v>
      </c>
      <c r="B1" s="15"/>
      <c r="C1" s="15"/>
      <c r="D1" s="15"/>
      <c r="E1" s="15"/>
      <c r="F1" s="15"/>
    </row>
    <row r="2" spans="1:10" ht="18.75" x14ac:dyDescent="0.3">
      <c r="A2" s="15" t="s">
        <v>82</v>
      </c>
      <c r="B2" s="15"/>
      <c r="C2" s="15"/>
      <c r="D2" s="15"/>
      <c r="E2" s="15"/>
      <c r="F2" s="15"/>
    </row>
    <row r="3" spans="1:10" ht="18.75" x14ac:dyDescent="0.3">
      <c r="A3" s="15" t="s">
        <v>80</v>
      </c>
      <c r="B3" s="15"/>
      <c r="C3" s="15"/>
      <c r="D3" s="15"/>
      <c r="E3" s="15"/>
      <c r="F3" s="15"/>
    </row>
    <row r="4" spans="1:10" ht="18.75" x14ac:dyDescent="0.3">
      <c r="A4" s="15" t="s">
        <v>81</v>
      </c>
      <c r="B4" s="15"/>
      <c r="C4" s="15"/>
      <c r="D4" s="15"/>
      <c r="E4" s="15"/>
      <c r="F4" s="15"/>
    </row>
    <row r="5" spans="1:10" x14ac:dyDescent="0.25">
      <c r="A5" s="1" t="s">
        <v>0</v>
      </c>
      <c r="B5" s="2" t="s">
        <v>1</v>
      </c>
      <c r="C5" s="2" t="s">
        <v>84</v>
      </c>
      <c r="D5" s="3" t="s">
        <v>2</v>
      </c>
      <c r="E5" s="3" t="s">
        <v>3</v>
      </c>
      <c r="F5" s="17" t="s">
        <v>4</v>
      </c>
      <c r="G5" s="18" t="s">
        <v>86</v>
      </c>
      <c r="H5" s="18" t="s">
        <v>87</v>
      </c>
      <c r="I5" s="18" t="s">
        <v>88</v>
      </c>
      <c r="J5" s="18" t="s">
        <v>89</v>
      </c>
    </row>
    <row r="6" spans="1:10" s="7" customFormat="1" x14ac:dyDescent="0.25">
      <c r="A6" s="4">
        <v>1</v>
      </c>
      <c r="B6" s="5" t="s">
        <v>5</v>
      </c>
      <c r="C6" s="5"/>
      <c r="D6" s="4" t="s">
        <v>6</v>
      </c>
      <c r="E6" s="4">
        <v>1</v>
      </c>
      <c r="F6" s="6" t="s">
        <v>7</v>
      </c>
      <c r="G6" s="19">
        <v>168208</v>
      </c>
      <c r="H6" s="19">
        <f>Table1[[#This Row],[UNIT COST]]*Table1[[#This Row],[QTY]]</f>
        <v>168208</v>
      </c>
      <c r="I6" s="19">
        <v>243751.8</v>
      </c>
      <c r="J6" s="19">
        <f>Table1[[#This Row],[UNIT SALE]]*Table1[[#This Row],[QTY]]</f>
        <v>243751.8</v>
      </c>
    </row>
    <row r="7" spans="1:10" s="7" customFormat="1" x14ac:dyDescent="0.25">
      <c r="A7" s="4">
        <v>2</v>
      </c>
      <c r="B7" s="5" t="s">
        <v>8</v>
      </c>
      <c r="C7" s="5"/>
      <c r="D7" s="4" t="s">
        <v>9</v>
      </c>
      <c r="E7" s="4">
        <v>8</v>
      </c>
      <c r="F7" s="6" t="s">
        <v>7</v>
      </c>
      <c r="G7" s="19">
        <v>275</v>
      </c>
      <c r="H7" s="19">
        <f>Table1[[#This Row],[UNIT COST]]*Table1[[#This Row],[QTY]]</f>
        <v>2200</v>
      </c>
      <c r="I7" s="19">
        <v>437.14</v>
      </c>
      <c r="J7" s="19">
        <f>Table1[[#This Row],[UNIT SALE]]*Table1[[#This Row],[QTY]]</f>
        <v>3497.12</v>
      </c>
    </row>
    <row r="8" spans="1:10" s="7" customFormat="1" x14ac:dyDescent="0.25">
      <c r="A8" s="4">
        <v>3</v>
      </c>
      <c r="B8" s="5" t="s">
        <v>11</v>
      </c>
      <c r="C8" s="5"/>
      <c r="D8" s="4" t="s">
        <v>10</v>
      </c>
      <c r="E8" s="4">
        <v>1</v>
      </c>
      <c r="F8" s="6" t="s">
        <v>7</v>
      </c>
      <c r="G8" s="19">
        <v>2996</v>
      </c>
      <c r="H8" s="19">
        <f>Table1[[#This Row],[UNIT COST]]*Table1[[#This Row],[QTY]]</f>
        <v>2996</v>
      </c>
      <c r="I8" s="19">
        <v>4341.72</v>
      </c>
      <c r="J8" s="19">
        <f>Table1[[#This Row],[UNIT SALE]]*Table1[[#This Row],[QTY]]</f>
        <v>4341.72</v>
      </c>
    </row>
    <row r="9" spans="1:10" s="7" customFormat="1" x14ac:dyDescent="0.25">
      <c r="A9" s="4">
        <v>4</v>
      </c>
      <c r="B9" s="5" t="s">
        <v>12</v>
      </c>
      <c r="C9" s="5"/>
      <c r="D9" s="4" t="s">
        <v>10</v>
      </c>
      <c r="E9" s="4">
        <v>12</v>
      </c>
      <c r="F9" s="6" t="s">
        <v>7</v>
      </c>
      <c r="G9" s="19">
        <v>2549</v>
      </c>
      <c r="H9" s="19">
        <f>Table1[[#This Row],[UNIT COST]]*Table1[[#This Row],[QTY]]</f>
        <v>30588</v>
      </c>
      <c r="I9" s="19">
        <v>3693.69</v>
      </c>
      <c r="J9" s="19">
        <f>Table1[[#This Row],[UNIT SALE]]*Table1[[#This Row],[QTY]]</f>
        <v>44324.28</v>
      </c>
    </row>
    <row r="10" spans="1:10" s="7" customFormat="1" x14ac:dyDescent="0.25">
      <c r="A10" s="4">
        <v>5</v>
      </c>
      <c r="B10" s="5" t="s">
        <v>13</v>
      </c>
      <c r="C10" s="5"/>
      <c r="D10" s="4" t="s">
        <v>10</v>
      </c>
      <c r="E10" s="4">
        <v>5</v>
      </c>
      <c r="F10" s="6" t="s">
        <v>7</v>
      </c>
      <c r="G10" s="19">
        <v>3344</v>
      </c>
      <c r="H10" s="19">
        <f>Table1[[#This Row],[UNIT COST]]*Table1[[#This Row],[QTY]]</f>
        <v>16720</v>
      </c>
      <c r="I10" s="19">
        <v>4845.41</v>
      </c>
      <c r="J10" s="19">
        <f>Table1[[#This Row],[UNIT SALE]]*Table1[[#This Row],[QTY]]</f>
        <v>24227.05</v>
      </c>
    </row>
    <row r="11" spans="1:10" s="7" customFormat="1" x14ac:dyDescent="0.25">
      <c r="A11" s="4">
        <v>6</v>
      </c>
      <c r="B11" s="5" t="s">
        <v>14</v>
      </c>
      <c r="C11" s="5"/>
      <c r="D11" s="4" t="s">
        <v>10</v>
      </c>
      <c r="E11" s="4">
        <v>7</v>
      </c>
      <c r="F11" s="6" t="s">
        <v>7</v>
      </c>
      <c r="G11" s="19">
        <v>2416</v>
      </c>
      <c r="H11" s="19">
        <f>Table1[[#This Row],[UNIT COST]]*Table1[[#This Row],[QTY]]</f>
        <v>16912</v>
      </c>
      <c r="I11" s="19">
        <v>3501.23</v>
      </c>
      <c r="J11" s="19">
        <f>Table1[[#This Row],[UNIT SALE]]*Table1[[#This Row],[QTY]]</f>
        <v>24508.61</v>
      </c>
    </row>
    <row r="12" spans="1:10" s="7" customFormat="1" x14ac:dyDescent="0.25">
      <c r="A12" s="4">
        <v>7</v>
      </c>
      <c r="B12" s="5" t="s">
        <v>15</v>
      </c>
      <c r="C12" s="5"/>
      <c r="D12" s="4" t="s">
        <v>16</v>
      </c>
      <c r="E12" s="4">
        <v>1</v>
      </c>
      <c r="F12" s="6" t="s">
        <v>7</v>
      </c>
      <c r="G12" s="19">
        <v>123427</v>
      </c>
      <c r="H12" s="19">
        <f>Table1[[#This Row],[UNIT COST]]*Table1[[#This Row],[QTY]]</f>
        <v>123427</v>
      </c>
      <c r="I12" s="19">
        <v>178858.34</v>
      </c>
      <c r="J12" s="19">
        <f>Table1[[#This Row],[UNIT SALE]]*Table1[[#This Row],[QTY]]</f>
        <v>178858.34</v>
      </c>
    </row>
    <row r="13" spans="1:10" s="7" customFormat="1" x14ac:dyDescent="0.25">
      <c r="A13" s="4">
        <v>8</v>
      </c>
      <c r="B13" s="5" t="s">
        <v>83</v>
      </c>
      <c r="C13" s="5"/>
      <c r="D13" s="4" t="s">
        <v>17</v>
      </c>
      <c r="E13" s="4">
        <v>1</v>
      </c>
      <c r="F13" s="6" t="s">
        <v>18</v>
      </c>
      <c r="G13" s="19">
        <v>8227</v>
      </c>
      <c r="H13" s="19">
        <f>Table1[[#This Row],[UNIT COST]]*Table1[[#This Row],[QTY]]</f>
        <v>8227</v>
      </c>
      <c r="I13" s="19">
        <v>11921.57</v>
      </c>
      <c r="J13" s="19">
        <f>Table1[[#This Row],[UNIT SALE]]*Table1[[#This Row],[QTY]]</f>
        <v>11921.57</v>
      </c>
    </row>
    <row r="14" spans="1:10" s="7" customFormat="1" x14ac:dyDescent="0.25">
      <c r="A14" s="4">
        <v>9</v>
      </c>
      <c r="B14" s="5" t="s">
        <v>19</v>
      </c>
      <c r="C14" s="5"/>
      <c r="D14" s="4" t="s">
        <v>20</v>
      </c>
      <c r="E14" s="4">
        <v>1</v>
      </c>
      <c r="F14" s="6" t="s">
        <v>21</v>
      </c>
      <c r="G14" s="19">
        <v>12425</v>
      </c>
      <c r="H14" s="19">
        <f>Table1[[#This Row],[UNIT COST]]*Table1[[#This Row],[QTY]]</f>
        <v>12425</v>
      </c>
      <c r="I14" s="19">
        <v>18004.689999999999</v>
      </c>
      <c r="J14" s="19">
        <f>Table1[[#This Row],[UNIT SALE]]*Table1[[#This Row],[QTY]]</f>
        <v>18004.689999999999</v>
      </c>
    </row>
    <row r="15" spans="1:10" s="7" customFormat="1" x14ac:dyDescent="0.25">
      <c r="A15" s="4">
        <v>10</v>
      </c>
      <c r="B15" s="5" t="s">
        <v>22</v>
      </c>
      <c r="C15" s="5"/>
      <c r="D15" s="4" t="s">
        <v>23</v>
      </c>
      <c r="E15" s="4">
        <v>1</v>
      </c>
      <c r="F15" s="6" t="s">
        <v>7</v>
      </c>
      <c r="G15" s="19">
        <v>537</v>
      </c>
      <c r="H15" s="19">
        <f>Table1[[#This Row],[UNIT COST]]*Table1[[#This Row],[QTY]]</f>
        <v>537</v>
      </c>
      <c r="I15" s="19">
        <v>790.34</v>
      </c>
      <c r="J15" s="19">
        <f>Table1[[#This Row],[UNIT SALE]]*Table1[[#This Row],[QTY]]</f>
        <v>790.34</v>
      </c>
    </row>
    <row r="16" spans="1:10" s="7" customFormat="1" x14ac:dyDescent="0.25">
      <c r="A16" s="4">
        <v>11</v>
      </c>
      <c r="B16" s="5" t="s">
        <v>24</v>
      </c>
      <c r="C16" s="5"/>
      <c r="D16" s="4" t="s">
        <v>25</v>
      </c>
      <c r="E16" s="4">
        <v>1</v>
      </c>
      <c r="F16" s="6" t="s">
        <v>21</v>
      </c>
      <c r="G16" s="19">
        <v>39506</v>
      </c>
      <c r="H16" s="19">
        <f>Table1[[#This Row],[UNIT COST]]*Table1[[#This Row],[QTY]]</f>
        <v>39506</v>
      </c>
      <c r="I16" s="19">
        <v>58101.91</v>
      </c>
      <c r="J16" s="19">
        <f>Table1[[#This Row],[UNIT SALE]]*Table1[[#This Row],[QTY]]</f>
        <v>58101.91</v>
      </c>
    </row>
    <row r="17" spans="1:10" s="7" customFormat="1" x14ac:dyDescent="0.25">
      <c r="A17" s="4">
        <v>12</v>
      </c>
      <c r="B17" s="5" t="s">
        <v>26</v>
      </c>
      <c r="C17" s="5"/>
      <c r="D17" s="4" t="s">
        <v>27</v>
      </c>
      <c r="E17" s="4">
        <v>8</v>
      </c>
      <c r="F17" s="6" t="s">
        <v>63</v>
      </c>
      <c r="G17" s="19">
        <v>4359</v>
      </c>
      <c r="H17" s="19">
        <f>Table1[[#This Row],[UNIT COST]]*Table1[[#This Row],[QTY]]</f>
        <v>34872</v>
      </c>
      <c r="I17" s="19">
        <v>6316.54</v>
      </c>
      <c r="J17" s="19">
        <f>Table1[[#This Row],[UNIT SALE]]*Table1[[#This Row],[QTY]]</f>
        <v>50532.32</v>
      </c>
    </row>
    <row r="18" spans="1:10" s="7" customFormat="1" x14ac:dyDescent="0.25">
      <c r="A18" s="4">
        <v>13</v>
      </c>
      <c r="B18" s="5" t="s">
        <v>29</v>
      </c>
      <c r="C18" s="5"/>
      <c r="D18" s="4" t="s">
        <v>27</v>
      </c>
      <c r="E18" s="4">
        <v>24</v>
      </c>
      <c r="F18" s="6" t="s">
        <v>62</v>
      </c>
      <c r="G18" s="19">
        <v>4609</v>
      </c>
      <c r="H18" s="19">
        <f>Table1[[#This Row],[UNIT COST]]*Table1[[#This Row],[QTY]]</f>
        <v>110616</v>
      </c>
      <c r="I18" s="19">
        <v>6678.95</v>
      </c>
      <c r="J18" s="19">
        <f>Table1[[#This Row],[UNIT SALE]]*Table1[[#This Row],[QTY]]</f>
        <v>160294.79999999999</v>
      </c>
    </row>
    <row r="19" spans="1:10" s="7" customFormat="1" x14ac:dyDescent="0.25">
      <c r="A19" s="4">
        <v>14</v>
      </c>
      <c r="B19" s="5" t="s">
        <v>30</v>
      </c>
      <c r="C19" s="5"/>
      <c r="D19" s="4" t="s">
        <v>27</v>
      </c>
      <c r="E19" s="4">
        <v>1</v>
      </c>
      <c r="F19" s="6" t="s">
        <v>21</v>
      </c>
      <c r="G19" s="19">
        <v>7020</v>
      </c>
      <c r="H19" s="19">
        <f>Table1[[#This Row],[UNIT COST]]*Table1[[#This Row],[QTY]]</f>
        <v>7020</v>
      </c>
      <c r="I19" s="19">
        <v>10324.52</v>
      </c>
      <c r="J19" s="19">
        <f>Table1[[#This Row],[UNIT SALE]]*Table1[[#This Row],[QTY]]</f>
        <v>10324.52</v>
      </c>
    </row>
    <row r="20" spans="1:10" s="7" customFormat="1" x14ac:dyDescent="0.25">
      <c r="A20" s="4">
        <v>15</v>
      </c>
      <c r="B20" s="5" t="s">
        <v>31</v>
      </c>
      <c r="C20" s="5"/>
      <c r="D20" s="4" t="s">
        <v>27</v>
      </c>
      <c r="E20" s="4">
        <v>1</v>
      </c>
      <c r="F20" s="6" t="s">
        <v>21</v>
      </c>
      <c r="G20" s="19">
        <v>6960</v>
      </c>
      <c r="H20" s="19">
        <f>Table1[[#This Row],[UNIT COST]]*Table1[[#This Row],[QTY]]</f>
        <v>6960</v>
      </c>
      <c r="I20" s="19">
        <v>10236.48</v>
      </c>
      <c r="J20" s="19">
        <f>Table1[[#This Row],[UNIT SALE]]*Table1[[#This Row],[QTY]]</f>
        <v>10236.48</v>
      </c>
    </row>
    <row r="21" spans="1:10" s="7" customFormat="1" x14ac:dyDescent="0.25">
      <c r="A21" s="4">
        <v>16</v>
      </c>
      <c r="B21" s="5" t="s">
        <v>32</v>
      </c>
      <c r="C21" s="5"/>
      <c r="D21" s="4" t="s">
        <v>33</v>
      </c>
      <c r="E21" s="4">
        <v>1</v>
      </c>
      <c r="F21" s="6" t="s">
        <v>7</v>
      </c>
      <c r="G21" s="19">
        <v>571</v>
      </c>
      <c r="H21" s="19">
        <f>Table1[[#This Row],[UNIT COST]]*Table1[[#This Row],[QTY]]</f>
        <v>571</v>
      </c>
      <c r="I21" s="19">
        <v>839.48</v>
      </c>
      <c r="J21" s="19">
        <f>Table1[[#This Row],[UNIT SALE]]*Table1[[#This Row],[QTY]]</f>
        <v>839.48</v>
      </c>
    </row>
    <row r="22" spans="1:10" s="7" customFormat="1" x14ac:dyDescent="0.25">
      <c r="A22" s="4">
        <v>17</v>
      </c>
      <c r="B22" s="5" t="s">
        <v>34</v>
      </c>
      <c r="C22" s="5"/>
      <c r="D22" s="4" t="s">
        <v>35</v>
      </c>
      <c r="E22" s="4">
        <v>1</v>
      </c>
      <c r="F22" s="6" t="s">
        <v>28</v>
      </c>
      <c r="G22" s="19">
        <v>171529</v>
      </c>
      <c r="H22" s="19">
        <f>Table1[[#This Row],[UNIT COST]]*Table1[[#This Row],[QTY]]</f>
        <v>171529</v>
      </c>
      <c r="I22" s="19">
        <v>248563.43</v>
      </c>
      <c r="J22" s="19">
        <f>Table1[[#This Row],[UNIT SALE]]*Table1[[#This Row],[QTY]]</f>
        <v>248563.43</v>
      </c>
    </row>
    <row r="23" spans="1:10" s="7" customFormat="1" x14ac:dyDescent="0.25">
      <c r="A23" s="4">
        <v>18</v>
      </c>
      <c r="B23" s="5" t="s">
        <v>36</v>
      </c>
      <c r="C23" s="5"/>
      <c r="D23" s="4" t="s">
        <v>37</v>
      </c>
      <c r="E23" s="4">
        <v>1</v>
      </c>
      <c r="F23" s="6" t="s">
        <v>7</v>
      </c>
      <c r="G23" s="19">
        <v>77</v>
      </c>
      <c r="H23" s="19">
        <f>Table1[[#This Row],[UNIT COST]]*Table1[[#This Row],[QTY]]</f>
        <v>77</v>
      </c>
      <c r="I23" s="19">
        <v>112.61</v>
      </c>
      <c r="J23" s="19">
        <f>Table1[[#This Row],[UNIT SALE]]*Table1[[#This Row],[QTY]]</f>
        <v>112.61</v>
      </c>
    </row>
    <row r="24" spans="1:10" s="7" customFormat="1" x14ac:dyDescent="0.25">
      <c r="A24" s="4">
        <v>19</v>
      </c>
      <c r="B24" s="5" t="s">
        <v>38</v>
      </c>
      <c r="C24" s="5"/>
      <c r="D24" s="4" t="s">
        <v>37</v>
      </c>
      <c r="E24" s="4">
        <v>1</v>
      </c>
      <c r="F24" s="6" t="s">
        <v>7</v>
      </c>
      <c r="G24" s="19">
        <v>222</v>
      </c>
      <c r="H24" s="19">
        <f>Table1[[#This Row],[UNIT COST]]*Table1[[#This Row],[QTY]]</f>
        <v>222</v>
      </c>
      <c r="I24" s="19">
        <v>326.58</v>
      </c>
      <c r="J24" s="19">
        <f>Table1[[#This Row],[UNIT SALE]]*Table1[[#This Row],[QTY]]</f>
        <v>326.58</v>
      </c>
    </row>
    <row r="25" spans="1:10" s="7" customFormat="1" x14ac:dyDescent="0.25">
      <c r="A25" s="4">
        <v>20</v>
      </c>
      <c r="B25" s="5" t="s">
        <v>39</v>
      </c>
      <c r="C25" s="5"/>
      <c r="D25" s="4" t="s">
        <v>40</v>
      </c>
      <c r="E25" s="4">
        <v>1</v>
      </c>
      <c r="F25" s="6" t="s">
        <v>7</v>
      </c>
      <c r="G25" s="19">
        <v>164</v>
      </c>
      <c r="H25" s="19">
        <f>Table1[[#This Row],[UNIT COST]]*Table1[[#This Row],[QTY]]</f>
        <v>164</v>
      </c>
      <c r="I25" s="19">
        <v>240.58</v>
      </c>
      <c r="J25" s="19">
        <f>Table1[[#This Row],[UNIT SALE]]*Table1[[#This Row],[QTY]]</f>
        <v>240.58</v>
      </c>
    </row>
    <row r="26" spans="1:10" s="7" customFormat="1" x14ac:dyDescent="0.25">
      <c r="A26" s="4">
        <v>21</v>
      </c>
      <c r="B26" s="5" t="s">
        <v>41</v>
      </c>
      <c r="C26" s="5"/>
      <c r="D26" s="4" t="s">
        <v>42</v>
      </c>
      <c r="E26" s="4">
        <v>1</v>
      </c>
      <c r="F26" s="6" t="s">
        <v>7</v>
      </c>
      <c r="G26" s="19">
        <v>615</v>
      </c>
      <c r="H26" s="19">
        <f>Table1[[#This Row],[UNIT COST]]*Table1[[#This Row],[QTY]]</f>
        <v>615</v>
      </c>
      <c r="I26" s="19">
        <v>891.69</v>
      </c>
      <c r="J26" s="19">
        <f>Table1[[#This Row],[UNIT SALE]]*Table1[[#This Row],[QTY]]</f>
        <v>891.69</v>
      </c>
    </row>
    <row r="27" spans="1:10" s="7" customFormat="1" x14ac:dyDescent="0.25">
      <c r="A27" s="4">
        <v>22</v>
      </c>
      <c r="B27" s="16" t="s">
        <v>85</v>
      </c>
      <c r="C27" s="5" t="s">
        <v>43</v>
      </c>
      <c r="D27" s="4" t="s">
        <v>44</v>
      </c>
      <c r="E27" s="4">
        <v>6</v>
      </c>
      <c r="F27" s="6" t="s">
        <v>7</v>
      </c>
      <c r="G27" s="19">
        <v>167</v>
      </c>
      <c r="H27" s="19">
        <f>Table1[[#This Row],[UNIT COST]]*Table1[[#This Row],[QTY]]</f>
        <v>1002</v>
      </c>
      <c r="I27" s="19">
        <v>265.14999999999998</v>
      </c>
      <c r="J27" s="19">
        <f>Table1[[#This Row],[UNIT SALE]]*Table1[[#This Row],[QTY]]</f>
        <v>1590.8999999999999</v>
      </c>
    </row>
    <row r="28" spans="1:10" s="7" customFormat="1" x14ac:dyDescent="0.25">
      <c r="A28" s="4">
        <v>23</v>
      </c>
      <c r="B28" s="5" t="s">
        <v>45</v>
      </c>
      <c r="C28" s="5"/>
      <c r="D28" s="4" t="s">
        <v>46</v>
      </c>
      <c r="E28" s="4">
        <v>4</v>
      </c>
      <c r="F28" s="6" t="s">
        <v>7</v>
      </c>
      <c r="G28" s="19">
        <v>85</v>
      </c>
      <c r="H28" s="19">
        <f>Table1[[#This Row],[UNIT COST]]*Table1[[#This Row],[QTY]]</f>
        <v>340</v>
      </c>
      <c r="I28" s="19">
        <v>124.9</v>
      </c>
      <c r="J28" s="19">
        <f>Table1[[#This Row],[UNIT SALE]]*Table1[[#This Row],[QTY]]</f>
        <v>499.6</v>
      </c>
    </row>
    <row r="29" spans="1:10" s="7" customFormat="1" x14ac:dyDescent="0.25">
      <c r="A29" s="4">
        <v>24</v>
      </c>
      <c r="B29" s="5" t="s">
        <v>47</v>
      </c>
      <c r="C29" s="5"/>
      <c r="D29" s="4" t="s">
        <v>46</v>
      </c>
      <c r="E29" s="4">
        <v>3</v>
      </c>
      <c r="F29" s="6" t="s">
        <v>7</v>
      </c>
      <c r="G29" s="19">
        <v>160</v>
      </c>
      <c r="H29" s="19">
        <f>Table1[[#This Row],[UNIT COST]]*Table1[[#This Row],[QTY]]</f>
        <v>480</v>
      </c>
      <c r="I29" s="19">
        <v>235.46</v>
      </c>
      <c r="J29" s="19">
        <f>Table1[[#This Row],[UNIT SALE]]*Table1[[#This Row],[QTY]]</f>
        <v>706.38</v>
      </c>
    </row>
    <row r="30" spans="1:10" x14ac:dyDescent="0.25">
      <c r="A30" s="4">
        <v>25</v>
      </c>
      <c r="B30" s="5" t="s">
        <v>48</v>
      </c>
      <c r="C30" s="5"/>
      <c r="D30" s="4" t="s">
        <v>49</v>
      </c>
      <c r="E30" s="4">
        <v>2</v>
      </c>
      <c r="F30" s="6" t="s">
        <v>75</v>
      </c>
      <c r="G30" s="20">
        <v>9743</v>
      </c>
      <c r="H30" s="20">
        <f>Table1[[#This Row],[UNIT COST]]*Table1[[#This Row],[QTY]]</f>
        <v>19486</v>
      </c>
      <c r="I30" s="20">
        <v>14118.54</v>
      </c>
      <c r="J30" s="20">
        <f>Table1[[#This Row],[UNIT SALE]]*Table1[[#This Row],[QTY]]</f>
        <v>28237.08</v>
      </c>
    </row>
    <row r="31" spans="1:10" s="7" customFormat="1" x14ac:dyDescent="0.25">
      <c r="A31" s="4">
        <v>26</v>
      </c>
      <c r="B31" s="8" t="s">
        <v>50</v>
      </c>
      <c r="C31" s="8"/>
      <c r="D31" s="4" t="s">
        <v>51</v>
      </c>
      <c r="E31" s="4">
        <v>1</v>
      </c>
      <c r="F31" s="6" t="s">
        <v>75</v>
      </c>
      <c r="G31" s="19">
        <v>11441</v>
      </c>
      <c r="H31" s="19">
        <f>Table1[[#This Row],[UNIT COST]]*Table1[[#This Row],[QTY]]</f>
        <v>11441</v>
      </c>
      <c r="I31" s="19">
        <v>16579.63</v>
      </c>
      <c r="J31" s="19">
        <f>Table1[[#This Row],[UNIT SALE]]*Table1[[#This Row],[QTY]]</f>
        <v>16579.63</v>
      </c>
    </row>
    <row r="32" spans="1:10" s="7" customFormat="1" x14ac:dyDescent="0.25">
      <c r="A32" s="4">
        <v>27</v>
      </c>
      <c r="B32" s="5" t="s">
        <v>52</v>
      </c>
      <c r="C32" s="5"/>
      <c r="D32" s="4" t="s">
        <v>53</v>
      </c>
      <c r="E32" s="4">
        <v>1</v>
      </c>
      <c r="F32" s="6" t="s">
        <v>7</v>
      </c>
      <c r="G32" s="19">
        <v>330</v>
      </c>
      <c r="H32" s="19">
        <f>Table1[[#This Row],[UNIT COST]]*Table1[[#This Row],[QTY]]</f>
        <v>330</v>
      </c>
      <c r="I32" s="19">
        <v>524.16</v>
      </c>
      <c r="J32" s="19">
        <f>Table1[[#This Row],[UNIT SALE]]*Table1[[#This Row],[QTY]]</f>
        <v>524.16</v>
      </c>
    </row>
    <row r="33" spans="1:10" s="7" customFormat="1" x14ac:dyDescent="0.25">
      <c r="A33" s="4">
        <v>28</v>
      </c>
      <c r="B33" s="5" t="s">
        <v>54</v>
      </c>
      <c r="C33" s="5"/>
      <c r="D33" s="4" t="s">
        <v>53</v>
      </c>
      <c r="E33" s="4">
        <v>15</v>
      </c>
      <c r="F33" s="6" t="s">
        <v>7</v>
      </c>
      <c r="G33" s="19">
        <v>555</v>
      </c>
      <c r="H33" s="19">
        <f>Table1[[#This Row],[UNIT COST]]*Table1[[#This Row],[QTY]]</f>
        <v>8325</v>
      </c>
      <c r="I33" s="19">
        <v>882.47</v>
      </c>
      <c r="J33" s="19">
        <f>Table1[[#This Row],[UNIT SALE]]*Table1[[#This Row],[QTY]]</f>
        <v>13237.050000000001</v>
      </c>
    </row>
    <row r="34" spans="1:10" x14ac:dyDescent="0.25">
      <c r="A34" s="4">
        <v>29</v>
      </c>
      <c r="B34" s="5" t="s">
        <v>55</v>
      </c>
      <c r="C34" s="5"/>
      <c r="D34" s="4" t="s">
        <v>53</v>
      </c>
      <c r="E34" s="4">
        <v>3</v>
      </c>
      <c r="F34" s="6" t="s">
        <v>7</v>
      </c>
      <c r="G34" s="20">
        <v>4397</v>
      </c>
      <c r="H34" s="20">
        <f>Table1[[#This Row],[UNIT COST]]*Table1[[#This Row],[QTY]]</f>
        <v>13191</v>
      </c>
      <c r="I34" s="20">
        <v>6986.07</v>
      </c>
      <c r="J34" s="20">
        <f>Table1[[#This Row],[UNIT SALE]]*Table1[[#This Row],[QTY]]</f>
        <v>20958.21</v>
      </c>
    </row>
    <row r="35" spans="1:10" x14ac:dyDescent="0.25">
      <c r="A35" s="4">
        <v>30</v>
      </c>
      <c r="B35" s="5" t="s">
        <v>56</v>
      </c>
      <c r="C35" s="5"/>
      <c r="D35" s="4" t="s">
        <v>53</v>
      </c>
      <c r="E35" s="4">
        <v>20</v>
      </c>
      <c r="F35" s="6" t="s">
        <v>7</v>
      </c>
      <c r="G35" s="20">
        <v>824</v>
      </c>
      <c r="H35" s="20">
        <f>Table1[[#This Row],[UNIT COST]]*Table1[[#This Row],[QTY]]</f>
        <v>16480</v>
      </c>
      <c r="I35" s="20">
        <v>1309.3800000000001</v>
      </c>
      <c r="J35" s="20">
        <f>Table1[[#This Row],[UNIT SALE]]*Table1[[#This Row],[QTY]]</f>
        <v>26187.600000000002</v>
      </c>
    </row>
    <row r="36" spans="1:10" x14ac:dyDescent="0.25">
      <c r="A36" s="4">
        <v>31</v>
      </c>
      <c r="B36" s="5" t="s">
        <v>57</v>
      </c>
      <c r="C36" s="5"/>
      <c r="D36" s="4" t="s">
        <v>53</v>
      </c>
      <c r="E36" s="4">
        <v>20</v>
      </c>
      <c r="F36" s="6" t="s">
        <v>7</v>
      </c>
      <c r="G36" s="20">
        <v>672</v>
      </c>
      <c r="H36" s="20">
        <f>Table1[[#This Row],[UNIT COST]]*Table1[[#This Row],[QTY]]</f>
        <v>13440</v>
      </c>
      <c r="I36" s="20">
        <v>1067.77</v>
      </c>
      <c r="J36" s="20">
        <f>Table1[[#This Row],[UNIT SALE]]*Table1[[#This Row],[QTY]]</f>
        <v>21355.4</v>
      </c>
    </row>
    <row r="37" spans="1:10" x14ac:dyDescent="0.25">
      <c r="A37" s="4">
        <v>32</v>
      </c>
      <c r="B37" s="5" t="s">
        <v>58</v>
      </c>
      <c r="C37" s="5"/>
      <c r="D37" s="4" t="s">
        <v>59</v>
      </c>
      <c r="E37" s="4">
        <v>4</v>
      </c>
      <c r="F37" s="6" t="s">
        <v>7</v>
      </c>
      <c r="G37" s="20">
        <v>2818</v>
      </c>
      <c r="H37" s="20">
        <f>Table1[[#This Row],[UNIT COST]]*Table1[[#This Row],[QTY]]</f>
        <v>11272</v>
      </c>
      <c r="I37" s="20">
        <v>4477.88</v>
      </c>
      <c r="J37" s="20">
        <f>Table1[[#This Row],[UNIT SALE]]*Table1[[#This Row],[QTY]]</f>
        <v>17911.52</v>
      </c>
    </row>
    <row r="38" spans="1:10" x14ac:dyDescent="0.25">
      <c r="A38" s="4">
        <v>33</v>
      </c>
      <c r="B38" s="9" t="s">
        <v>60</v>
      </c>
      <c r="C38" s="9"/>
      <c r="D38" s="10" t="s">
        <v>61</v>
      </c>
      <c r="E38" s="10">
        <v>1</v>
      </c>
      <c r="F38" s="11" t="s">
        <v>21</v>
      </c>
      <c r="G38" s="20">
        <v>198954</v>
      </c>
      <c r="H38" s="20">
        <f>Table1[[#This Row],[UNIT COST]]*Table1[[#This Row],[QTY]]</f>
        <v>198954</v>
      </c>
      <c r="I38" s="20">
        <v>292602.08</v>
      </c>
      <c r="J38" s="20">
        <f>Table1[[#This Row],[UNIT SALE]]*Table1[[#This Row],[QTY]]</f>
        <v>292602.08</v>
      </c>
    </row>
    <row r="39" spans="1:10" s="14" customFormat="1" x14ac:dyDescent="0.25">
      <c r="A39" s="4">
        <v>34</v>
      </c>
      <c r="B39" s="12" t="s">
        <v>64</v>
      </c>
      <c r="C39" s="12"/>
      <c r="D39" s="4" t="s">
        <v>65</v>
      </c>
      <c r="E39" s="4">
        <v>6</v>
      </c>
      <c r="F39" s="6" t="s">
        <v>66</v>
      </c>
      <c r="G39" s="20">
        <v>12603</v>
      </c>
      <c r="H39" s="20">
        <f>Table1[[#This Row],[UNIT COST]]*Table1[[#This Row],[QTY]]</f>
        <v>75618</v>
      </c>
      <c r="I39" s="20">
        <v>18263.7</v>
      </c>
      <c r="J39" s="20">
        <f>Table1[[#This Row],[UNIT SALE]]*Table1[[#This Row],[QTY]]</f>
        <v>109582.20000000001</v>
      </c>
    </row>
    <row r="40" spans="1:10" s="14" customFormat="1" x14ac:dyDescent="0.25">
      <c r="A40" s="4">
        <v>35</v>
      </c>
      <c r="B40" s="12" t="s">
        <v>67</v>
      </c>
      <c r="C40" s="12"/>
      <c r="D40" s="4" t="s">
        <v>68</v>
      </c>
      <c r="E40" s="4">
        <v>1</v>
      </c>
      <c r="F40" s="6" t="s">
        <v>66</v>
      </c>
      <c r="G40" s="20">
        <v>161015</v>
      </c>
      <c r="H40" s="20">
        <f>Table1[[#This Row],[UNIT COST]]*Table1[[#This Row],[QTY]]</f>
        <v>161015</v>
      </c>
      <c r="I40" s="20">
        <v>233327.98</v>
      </c>
      <c r="J40" s="20">
        <f>Table1[[#This Row],[UNIT SALE]]*Table1[[#This Row],[QTY]]</f>
        <v>233327.98</v>
      </c>
    </row>
    <row r="41" spans="1:10" s="14" customFormat="1" x14ac:dyDescent="0.25">
      <c r="A41" s="4">
        <v>36</v>
      </c>
      <c r="B41" s="12" t="s">
        <v>69</v>
      </c>
      <c r="C41" s="12"/>
      <c r="D41" s="4" t="s">
        <v>70</v>
      </c>
      <c r="E41" s="4">
        <v>1</v>
      </c>
      <c r="F41" s="6" t="s">
        <v>66</v>
      </c>
      <c r="G41" s="20">
        <v>38912</v>
      </c>
      <c r="H41" s="20">
        <f>Table1[[#This Row],[UNIT COST]]*Table1[[#This Row],[QTY]]</f>
        <v>38912</v>
      </c>
      <c r="I41" s="20">
        <v>56387.13</v>
      </c>
      <c r="J41" s="20">
        <f>Table1[[#This Row],[UNIT SALE]]*Table1[[#This Row],[QTY]]</f>
        <v>56387.13</v>
      </c>
    </row>
    <row r="42" spans="1:10" s="14" customFormat="1" x14ac:dyDescent="0.25">
      <c r="A42" s="4">
        <v>37</v>
      </c>
      <c r="B42" s="12" t="s">
        <v>71</v>
      </c>
      <c r="C42" s="12"/>
      <c r="D42" s="4" t="s">
        <v>72</v>
      </c>
      <c r="E42" s="4">
        <v>1</v>
      </c>
      <c r="F42" s="6" t="s">
        <v>66</v>
      </c>
      <c r="G42" s="20">
        <v>48790</v>
      </c>
      <c r="H42" s="20">
        <f>Table1[[#This Row],[UNIT COST]]*Table1[[#This Row],[QTY]]</f>
        <v>48790</v>
      </c>
      <c r="I42" s="20">
        <v>70702.22</v>
      </c>
      <c r="J42" s="20">
        <f>Table1[[#This Row],[UNIT SALE]]*Table1[[#This Row],[QTY]]</f>
        <v>70702.22</v>
      </c>
    </row>
    <row r="43" spans="1:10" s="14" customFormat="1" x14ac:dyDescent="0.25">
      <c r="A43" s="4">
        <v>38</v>
      </c>
      <c r="B43" s="12" t="s">
        <v>73</v>
      </c>
      <c r="C43" s="12"/>
      <c r="D43" s="4" t="s">
        <v>74</v>
      </c>
      <c r="E43" s="4">
        <v>1</v>
      </c>
      <c r="F43" s="6" t="s">
        <v>75</v>
      </c>
      <c r="G43" s="20">
        <v>1133</v>
      </c>
      <c r="H43" s="20">
        <f>Table1[[#This Row],[UNIT COST]]*Table1[[#This Row],[QTY]]</f>
        <v>1133</v>
      </c>
      <c r="I43" s="20">
        <v>1642.1</v>
      </c>
      <c r="J43" s="20">
        <f>Table1[[#This Row],[UNIT SALE]]*Table1[[#This Row],[QTY]]</f>
        <v>1642.1</v>
      </c>
    </row>
    <row r="44" spans="1:10" s="14" customFormat="1" x14ac:dyDescent="0.25">
      <c r="A44" s="4">
        <v>39</v>
      </c>
      <c r="B44" s="12" t="s">
        <v>76</v>
      </c>
      <c r="C44" s="12"/>
      <c r="D44" s="4" t="s">
        <v>77</v>
      </c>
      <c r="E44" s="4">
        <v>1</v>
      </c>
      <c r="F44" s="6" t="s">
        <v>75</v>
      </c>
      <c r="G44" s="20">
        <v>1330</v>
      </c>
      <c r="H44" s="20">
        <f>Table1[[#This Row],[UNIT COST]]*Table1[[#This Row],[QTY]]</f>
        <v>1330</v>
      </c>
      <c r="I44" s="20">
        <v>1913.39</v>
      </c>
      <c r="J44" s="20">
        <f>Table1[[#This Row],[UNIT SALE]]*Table1[[#This Row],[QTY]]</f>
        <v>1913.39</v>
      </c>
    </row>
    <row r="45" spans="1:10" s="14" customFormat="1" x14ac:dyDescent="0.25">
      <c r="A45" s="4">
        <v>40</v>
      </c>
      <c r="B45" s="12" t="s">
        <v>78</v>
      </c>
      <c r="C45" s="12"/>
      <c r="D45" s="4" t="s">
        <v>65</v>
      </c>
      <c r="E45" s="4">
        <v>3</v>
      </c>
      <c r="F45" s="6" t="s">
        <v>62</v>
      </c>
      <c r="G45" s="20">
        <v>5293</v>
      </c>
      <c r="H45" s="20">
        <f>Table1[[#This Row],[UNIT COST]]*Table1[[#This Row],[QTY]]</f>
        <v>15879</v>
      </c>
      <c r="I45" s="20">
        <v>7669.94</v>
      </c>
      <c r="J45" s="20">
        <f>Table1[[#This Row],[UNIT SALE]]*Table1[[#This Row],[QTY]]</f>
        <v>23009.82</v>
      </c>
    </row>
    <row r="46" spans="1:10" x14ac:dyDescent="0.25">
      <c r="B46" s="9"/>
      <c r="C46" s="21"/>
      <c r="D46" s="10"/>
      <c r="E46" s="10"/>
      <c r="F46" s="10"/>
      <c r="G46" s="22"/>
      <c r="H46" s="22">
        <f>SUBTOTAL(109,Table1[EXTN COST])</f>
        <v>1391810</v>
      </c>
      <c r="I46" s="22"/>
      <c r="J46" s="22">
        <f>SUBTOTAL(109,Table1[EXTN SALE])</f>
        <v>2031644.3699999996</v>
      </c>
    </row>
  </sheetData>
  <mergeCells count="4">
    <mergeCell ref="A1:F1"/>
    <mergeCell ref="A2:F2"/>
    <mergeCell ref="A3:F3"/>
    <mergeCell ref="A4:F4"/>
  </mergeCells>
  <conditionalFormatting sqref="B6:C45">
    <cfRule type="duplicateValues" dxfId="14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2020-03-02T05:25:43Z</dcterms:modified>
</cp:coreProperties>
</file>